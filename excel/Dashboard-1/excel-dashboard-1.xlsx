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Quality Thought\Desktop\DataScience\excel\"/>
    </mc:Choice>
  </mc:AlternateContent>
  <bookViews>
    <workbookView xWindow="0" yWindow="0" windowWidth="20490" windowHeight="7635" activeTab="2"/>
  </bookViews>
  <sheets>
    <sheet name="Dashboard" sheetId="2" r:id="rId1"/>
    <sheet name="Pivot table" sheetId="6" r:id="rId2"/>
    <sheet name="Data List" sheetId="1" r:id="rId3"/>
  </sheets>
  <definedNames>
    <definedName name="NativeTimeline_Date">#N/A</definedName>
    <definedName name="Slicer_Item">#N/A</definedName>
    <definedName name="Slicer_Region">#N/A</definedName>
  </definedNames>
  <calcPr calcId="152511"/>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H11" i="6" l="1"/>
  <c r="H15" i="6"/>
</calcChain>
</file>

<file path=xl/sharedStrings.xml><?xml version="1.0" encoding="utf-8"?>
<sst xmlns="http://schemas.openxmlformats.org/spreadsheetml/2006/main" count="230" uniqueCount="36">
  <si>
    <t>SI No</t>
  </si>
  <si>
    <t>Date</t>
  </si>
  <si>
    <t>Customer</t>
  </si>
  <si>
    <t>Region</t>
  </si>
  <si>
    <t>Item</t>
  </si>
  <si>
    <t>Qty</t>
  </si>
  <si>
    <t>Price</t>
  </si>
  <si>
    <t>Amount</t>
  </si>
  <si>
    <t>Emily Johnson</t>
  </si>
  <si>
    <t>North</t>
  </si>
  <si>
    <t>Notebook</t>
  </si>
  <si>
    <t>Olivia Brown</t>
  </si>
  <si>
    <t>South</t>
  </si>
  <si>
    <t>Charger</t>
  </si>
  <si>
    <t>Ramesh Kumar</t>
  </si>
  <si>
    <t>East</t>
  </si>
  <si>
    <t>Backpack</t>
  </si>
  <si>
    <t>Maria Angelica</t>
  </si>
  <si>
    <t>West</t>
  </si>
  <si>
    <t>Pen Set</t>
  </si>
  <si>
    <t>Mohammad Ali</t>
  </si>
  <si>
    <t>Desk Lamp</t>
  </si>
  <si>
    <t>Fatima Al Mak</t>
  </si>
  <si>
    <t>Chair</t>
  </si>
  <si>
    <t>Ethan Lee</t>
  </si>
  <si>
    <t>Ava Jenkins</t>
  </si>
  <si>
    <t>USB Drive</t>
  </si>
  <si>
    <t>Lukas Müller</t>
  </si>
  <si>
    <t>Yui Nakamura</t>
  </si>
  <si>
    <t>Row Labels</t>
  </si>
  <si>
    <t>Grand Total</t>
  </si>
  <si>
    <t>Sum of Amount</t>
  </si>
  <si>
    <t>Sep</t>
  </si>
  <si>
    <t>Oct</t>
  </si>
  <si>
    <t>Nov</t>
  </si>
  <si>
    <t>Count of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</si>
</sst>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name val="Calibri"/>
    </font>
    <font>
      <b/>
      <sz val="11"/>
      <color theme="0"/>
      <name val="Calibri"/>
      <family val="2"/>
    </font>
  </fonts>
  <fills count="3">
    <fill>
      <patternFill patternType="none"/>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14" fontId="0" fillId="0" borderId="0" xfId="0" applyNumberFormat="1"/>
    <xf numFmtId="0" fontId="0" fillId="0" borderId="0" xfId="0" applyAlignment="1">
      <alignment horizontal="center" vertical="center" wrapText="1"/>
    </xf>
    <xf numFmtId="14" fontId="0" fillId="0" borderId="0" xfId="0" applyNumberFormat="1" applyAlignment="1">
      <alignment horizontal="center" vertical="center" wrapText="1"/>
    </xf>
    <xf numFmtId="1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[excel-dashboard.xlsx]Pivot table!PivotTable4</c:name>
    <c:fmtId val="6"/>
  </c:pivotSource>
  <c:chart>
    <c:autoTitleDeleted val="1"/>
    <c:pivotFmts>
      <c:pivotFmt>
        <c:idx val="0"/>
        <c:spPr>
          <a:solidFill>
            <a:schemeClr val="accent3"/>
          </a:solidFill>
          <a:ln>
            <a:noFill/>
          </a:ln>
          <a:effectLst/>
          <a:sp3d/>
        </c:spPr>
        <c:marker>
          <c:symbol val="none"/>
        </c:marker>
      </c:pivotFmt>
      <c:pivotFmt>
        <c:idx val="1"/>
        <c:spPr>
          <a:solidFill>
            <a:schemeClr val="accent3"/>
          </a:solidFill>
          <a:ln>
            <a:noFill/>
          </a:ln>
          <a:effectLst/>
          <a:sp3d/>
        </c:spPr>
        <c:marker>
          <c:symbol val="none"/>
        </c:marker>
      </c:pivotFmt>
      <c:pivotFmt>
        <c:idx val="2"/>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c:f>
              <c:strCache>
                <c:ptCount val="1"/>
                <c:pt idx="0">
                  <c:v>Total</c:v>
                </c:pt>
              </c:strCache>
            </c:strRef>
          </c:tx>
          <c:spPr>
            <a:solidFill>
              <a:schemeClr val="accent3"/>
            </a:solidFill>
            <a:ln>
              <a:noFill/>
            </a:ln>
            <a:effectLst/>
            <a:sp3d/>
          </c:spPr>
          <c:invertIfNegative val="0"/>
          <c:cat>
            <c:strRef>
              <c:f>'Pivot table'!$G$4:$G$5</c:f>
              <c:strCache>
                <c:ptCount val="1"/>
                <c:pt idx="0">
                  <c:v>East</c:v>
                </c:pt>
              </c:strCache>
            </c:strRef>
          </c:cat>
          <c:val>
            <c:numRef>
              <c:f>'Pivot table'!$H$4:$H$5</c:f>
              <c:numCache>
                <c:formatCode>General</c:formatCode>
                <c:ptCount val="1"/>
                <c:pt idx="0">
                  <c:v>190660</c:v>
                </c:pt>
              </c:numCache>
            </c:numRef>
          </c:val>
        </c:ser>
        <c:dLbls>
          <c:showLegendKey val="0"/>
          <c:showVal val="0"/>
          <c:showCatName val="0"/>
          <c:showSerName val="0"/>
          <c:showPercent val="0"/>
          <c:showBubbleSize val="0"/>
        </c:dLbls>
        <c:gapWidth val="150"/>
        <c:shape val="box"/>
        <c:axId val="228552560"/>
        <c:axId val="228552944"/>
        <c:axId val="0"/>
      </c:bar3DChart>
      <c:catAx>
        <c:axId val="228552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52944"/>
        <c:crosses val="autoZero"/>
        <c:auto val="1"/>
        <c:lblAlgn val="ctr"/>
        <c:lblOffset val="100"/>
        <c:noMultiLvlLbl val="0"/>
      </c:catAx>
      <c:valAx>
        <c:axId val="22855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552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[excel-dashboard.xlsx]Pivot table!PivotTable5</c:name>
    <c:fmtId val="21"/>
  </c:pivotSource>
  <c:chart>
    <c:autoTitleDeleted val="1"/>
    <c:pivotFmts>
      <c:pivotFmt>
        <c:idx val="0"/>
        <c:spPr>
          <a:solidFill>
            <a:schemeClr val="accent3"/>
          </a:solidFill>
          <a:ln>
            <a:noFill/>
          </a:ln>
          <a:effectLst/>
        </c:spPr>
        <c:marker>
          <c:symbol val="none"/>
        </c:marker>
      </c:pivotFmt>
      <c:pivotFmt>
        <c:idx val="1"/>
        <c:spPr>
          <a:solidFill>
            <a:schemeClr val="accent3"/>
          </a:solidFill>
          <a:ln>
            <a:noFill/>
          </a:ln>
          <a:effectLst/>
        </c:spPr>
        <c:marker>
          <c:symbol val="none"/>
        </c:marker>
      </c:pivotFmt>
      <c:pivotFmt>
        <c:idx val="2"/>
        <c:spPr>
          <a:solidFill>
            <a:schemeClr val="accent3"/>
          </a:solidFill>
          <a:ln>
            <a:noFill/>
          </a:ln>
          <a:effectLst/>
        </c:spPr>
        <c:marker>
          <c:symbol val="none"/>
        </c:marker>
      </c:pivotFmt>
    </c:pivotFmts>
    <c:plotArea>
      <c:layout>
        <c:manualLayout>
          <c:layoutTarget val="inner"/>
          <c:xMode val="edge"/>
          <c:yMode val="edge"/>
          <c:x val="0.16057528523220313"/>
          <c:y val="8.9447958191883475E-2"/>
          <c:w val="0.79415260592425951"/>
          <c:h val="0.80881467369103122"/>
        </c:manualLayout>
      </c:layout>
      <c:areaChart>
        <c:grouping val="standard"/>
        <c:varyColors val="0"/>
        <c:ser>
          <c:idx val="0"/>
          <c:order val="0"/>
          <c:tx>
            <c:strRef>
              <c:f>'Pivot table'!$K$3</c:f>
              <c:strCache>
                <c:ptCount val="1"/>
                <c:pt idx="0">
                  <c:v>Total</c:v>
                </c:pt>
              </c:strCache>
            </c:strRef>
          </c:tx>
          <c:spPr>
            <a:solidFill>
              <a:schemeClr val="accent3"/>
            </a:solidFill>
            <a:ln>
              <a:noFill/>
            </a:ln>
            <a:effectLst/>
          </c:spPr>
          <c:cat>
            <c:strRef>
              <c:f>'Pivot table'!$J$4:$J$7</c:f>
              <c:strCache>
                <c:ptCount val="3"/>
                <c:pt idx="0">
                  <c:v>Sep</c:v>
                </c:pt>
                <c:pt idx="1">
                  <c:v>Oct</c:v>
                </c:pt>
                <c:pt idx="2">
                  <c:v>Nov</c:v>
                </c:pt>
              </c:strCache>
            </c:strRef>
          </c:cat>
          <c:val>
            <c:numRef>
              <c:f>'Pivot table'!$K$4:$K$7</c:f>
              <c:numCache>
                <c:formatCode>General</c:formatCode>
                <c:ptCount val="3"/>
                <c:pt idx="0">
                  <c:v>56640</c:v>
                </c:pt>
                <c:pt idx="1">
                  <c:v>89600</c:v>
                </c:pt>
                <c:pt idx="2">
                  <c:v>44420</c:v>
                </c:pt>
              </c:numCache>
            </c:numRef>
          </c:val>
        </c:ser>
        <c:dLbls>
          <c:showLegendKey val="0"/>
          <c:showVal val="0"/>
          <c:showCatName val="0"/>
          <c:showSerName val="0"/>
          <c:showPercent val="0"/>
          <c:showBubbleSize val="0"/>
        </c:dLbls>
        <c:axId val="366321592"/>
        <c:axId val="366322768"/>
      </c:areaChart>
      <c:catAx>
        <c:axId val="366321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322768"/>
        <c:crosses val="autoZero"/>
        <c:auto val="1"/>
        <c:lblAlgn val="ctr"/>
        <c:lblOffset val="100"/>
        <c:noMultiLvlLbl val="0"/>
      </c:catAx>
      <c:valAx>
        <c:axId val="36632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321592"/>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[excel-dashboard.xlsx]Pivot table!PivotTable6</c:name>
    <c:fmtId val="30"/>
  </c:pivotSource>
  <c:chart>
    <c:autoTitleDeleted val="1"/>
    <c:pivotFmts>
      <c:pivotFmt>
        <c:idx val="0"/>
        <c:spPr>
          <a:solidFill>
            <a:schemeClr val="accent3"/>
          </a:solidFill>
          <a:ln>
            <a:noFill/>
          </a:ln>
          <a:effectLst/>
          <a:sp3d/>
        </c:spPr>
        <c:marker>
          <c:symbol val="none"/>
        </c:marker>
      </c:pivotFmt>
      <c:pivotFmt>
        <c:idx val="1"/>
        <c:spPr>
          <a:solidFill>
            <a:schemeClr val="accent3"/>
          </a:solidFill>
          <a:ln>
            <a:noFill/>
          </a:ln>
          <a:effectLst/>
          <a:sp3d/>
        </c:spPr>
        <c:marker>
          <c:symbol val="none"/>
        </c:marker>
      </c:pivotFmt>
      <c:pivotFmt>
        <c:idx val="2"/>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table'!$N$3</c:f>
              <c:strCache>
                <c:ptCount val="1"/>
                <c:pt idx="0">
                  <c:v>Total</c:v>
                </c:pt>
              </c:strCache>
            </c:strRef>
          </c:tx>
          <c:spPr>
            <a:solidFill>
              <a:schemeClr val="accent3"/>
            </a:solidFill>
            <a:ln>
              <a:noFill/>
            </a:ln>
            <a:effectLst/>
            <a:sp3d/>
          </c:spPr>
          <c:invertIfNegative val="0"/>
          <c:cat>
            <c:strRef>
              <c:f>'Pivot table'!$M$4:$M$11</c:f>
              <c:strCache>
                <c:ptCount val="7"/>
                <c:pt idx="0">
                  <c:v>Backpack</c:v>
                </c:pt>
                <c:pt idx="1">
                  <c:v>Chair</c:v>
                </c:pt>
                <c:pt idx="2">
                  <c:v>Charger</c:v>
                </c:pt>
                <c:pt idx="3">
                  <c:v>Desk Lamp</c:v>
                </c:pt>
                <c:pt idx="4">
                  <c:v>Notebook</c:v>
                </c:pt>
                <c:pt idx="5">
                  <c:v>Pen Set</c:v>
                </c:pt>
                <c:pt idx="6">
                  <c:v>USB Drive</c:v>
                </c:pt>
              </c:strCache>
            </c:strRef>
          </c:cat>
          <c:val>
            <c:numRef>
              <c:f>'Pivot table'!$N$4:$N$11</c:f>
              <c:numCache>
                <c:formatCode>General</c:formatCode>
                <c:ptCount val="7"/>
                <c:pt idx="0">
                  <c:v>10140</c:v>
                </c:pt>
                <c:pt idx="1">
                  <c:v>2100</c:v>
                </c:pt>
                <c:pt idx="2">
                  <c:v>2100</c:v>
                </c:pt>
                <c:pt idx="3">
                  <c:v>90700</c:v>
                </c:pt>
                <c:pt idx="4">
                  <c:v>17920</c:v>
                </c:pt>
                <c:pt idx="5">
                  <c:v>15600</c:v>
                </c:pt>
                <c:pt idx="6">
                  <c:v>52100</c:v>
                </c:pt>
              </c:numCache>
            </c:numRef>
          </c:val>
        </c:ser>
        <c:dLbls>
          <c:showLegendKey val="0"/>
          <c:showVal val="0"/>
          <c:showCatName val="0"/>
          <c:showSerName val="0"/>
          <c:showPercent val="0"/>
          <c:showBubbleSize val="0"/>
        </c:dLbls>
        <c:gapWidth val="150"/>
        <c:shape val="box"/>
        <c:axId val="363725648"/>
        <c:axId val="363731136"/>
        <c:axId val="0"/>
      </c:bar3DChart>
      <c:catAx>
        <c:axId val="363725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31136"/>
        <c:crosses val="autoZero"/>
        <c:auto val="1"/>
        <c:lblAlgn val="ctr"/>
        <c:lblOffset val="100"/>
        <c:noMultiLvlLbl val="0"/>
      </c:catAx>
      <c:valAx>
        <c:axId val="36373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25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[excel-dashboard.xlsx]Pivot table!PivotTable4</c:name>
    <c:fmtId val="2"/>
  </c:pivotSource>
  <c:chart>
    <c:autoTitleDeleted val="1"/>
    <c:pivotFmts>
      <c:pivotFmt>
        <c:idx val="0"/>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table'!$H$3</c:f>
              <c:strCache>
                <c:ptCount val="1"/>
                <c:pt idx="0">
                  <c:v>Total</c:v>
                </c:pt>
              </c:strCache>
            </c:strRef>
          </c:tx>
          <c:spPr>
            <a:solidFill>
              <a:schemeClr val="accent3"/>
            </a:solidFill>
            <a:ln>
              <a:noFill/>
            </a:ln>
            <a:effectLst/>
            <a:sp3d/>
          </c:spPr>
          <c:invertIfNegative val="0"/>
          <c:cat>
            <c:strRef>
              <c:f>'Pivot table'!$G$4:$G$5</c:f>
              <c:strCache>
                <c:ptCount val="1"/>
                <c:pt idx="0">
                  <c:v>East</c:v>
                </c:pt>
              </c:strCache>
            </c:strRef>
          </c:cat>
          <c:val>
            <c:numRef>
              <c:f>'Pivot table'!$H$4:$H$5</c:f>
              <c:numCache>
                <c:formatCode>General</c:formatCode>
                <c:ptCount val="1"/>
                <c:pt idx="0">
                  <c:v>190660</c:v>
                </c:pt>
              </c:numCache>
            </c:numRef>
          </c:val>
        </c:ser>
        <c:dLbls>
          <c:showLegendKey val="0"/>
          <c:showVal val="0"/>
          <c:showCatName val="0"/>
          <c:showSerName val="0"/>
          <c:showPercent val="0"/>
          <c:showBubbleSize val="0"/>
        </c:dLbls>
        <c:gapWidth val="150"/>
        <c:shape val="box"/>
        <c:axId val="229664744"/>
        <c:axId val="229665128"/>
        <c:axId val="0"/>
      </c:bar3DChart>
      <c:catAx>
        <c:axId val="229664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665128"/>
        <c:crosses val="autoZero"/>
        <c:auto val="1"/>
        <c:lblAlgn val="ctr"/>
        <c:lblOffset val="100"/>
        <c:noMultiLvlLbl val="0"/>
      </c:catAx>
      <c:valAx>
        <c:axId val="229665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664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[excel-dashboard.xlsx]Pivot table!PivotTable5</c:name>
    <c:fmtId val="15"/>
  </c:pivotSource>
  <c:chart>
    <c:autoTitleDeleted val="1"/>
    <c:pivotFmts>
      <c:pivotFmt>
        <c:idx val="0"/>
        <c:spPr>
          <a:solidFill>
            <a:schemeClr val="accent3"/>
          </a:solidFill>
          <a:ln>
            <a:noFill/>
          </a:ln>
          <a:effectLst/>
        </c:spPr>
        <c:marker>
          <c:symbol val="none"/>
        </c:marker>
      </c:pivotFmt>
    </c:pivotFmts>
    <c:plotArea>
      <c:layout/>
      <c:areaChart>
        <c:grouping val="standard"/>
        <c:varyColors val="0"/>
        <c:ser>
          <c:idx val="0"/>
          <c:order val="0"/>
          <c:tx>
            <c:strRef>
              <c:f>'Pivot table'!$K$3</c:f>
              <c:strCache>
                <c:ptCount val="1"/>
                <c:pt idx="0">
                  <c:v>Total</c:v>
                </c:pt>
              </c:strCache>
            </c:strRef>
          </c:tx>
          <c:spPr>
            <a:solidFill>
              <a:schemeClr val="accent3"/>
            </a:solidFill>
            <a:ln>
              <a:noFill/>
            </a:ln>
            <a:effectLst/>
          </c:spPr>
          <c:cat>
            <c:strRef>
              <c:f>'Pivot table'!$J$4:$J$7</c:f>
              <c:strCache>
                <c:ptCount val="3"/>
                <c:pt idx="0">
                  <c:v>Sep</c:v>
                </c:pt>
                <c:pt idx="1">
                  <c:v>Oct</c:v>
                </c:pt>
                <c:pt idx="2">
                  <c:v>Nov</c:v>
                </c:pt>
              </c:strCache>
            </c:strRef>
          </c:cat>
          <c:val>
            <c:numRef>
              <c:f>'Pivot table'!$K$4:$K$7</c:f>
              <c:numCache>
                <c:formatCode>General</c:formatCode>
                <c:ptCount val="3"/>
                <c:pt idx="0">
                  <c:v>56640</c:v>
                </c:pt>
                <c:pt idx="1">
                  <c:v>89600</c:v>
                </c:pt>
                <c:pt idx="2">
                  <c:v>44420</c:v>
                </c:pt>
              </c:numCache>
            </c:numRef>
          </c:val>
        </c:ser>
        <c:dLbls>
          <c:showLegendKey val="0"/>
          <c:showVal val="0"/>
          <c:showCatName val="0"/>
          <c:showSerName val="0"/>
          <c:showPercent val="0"/>
          <c:showBubbleSize val="0"/>
        </c:dLbls>
        <c:axId val="363726824"/>
        <c:axId val="363724864"/>
      </c:areaChart>
      <c:catAx>
        <c:axId val="363726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24864"/>
        <c:crosses val="autoZero"/>
        <c:auto val="1"/>
        <c:lblAlgn val="ctr"/>
        <c:lblOffset val="100"/>
        <c:noMultiLvlLbl val="0"/>
      </c:catAx>
      <c:valAx>
        <c:axId val="363724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726824"/>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[excel-dashboard.xlsx]Pivot table!PivotTable6</c:name>
    <c:fmtId val="25"/>
  </c:pivotSource>
  <c:chart>
    <c:autoTitleDeleted val="1"/>
    <c:pivotFmts>
      <c:pivotFmt>
        <c:idx val="0"/>
        <c:spPr>
          <a:solidFill>
            <a:schemeClr val="accent3"/>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table'!$N$3</c:f>
              <c:strCache>
                <c:ptCount val="1"/>
                <c:pt idx="0">
                  <c:v>Total</c:v>
                </c:pt>
              </c:strCache>
            </c:strRef>
          </c:tx>
          <c:spPr>
            <a:solidFill>
              <a:schemeClr val="accent3"/>
            </a:solidFill>
            <a:ln>
              <a:noFill/>
            </a:ln>
            <a:effectLst/>
            <a:sp3d/>
          </c:spPr>
          <c:invertIfNegative val="0"/>
          <c:cat>
            <c:strRef>
              <c:f>'Pivot table'!$M$4:$M$11</c:f>
              <c:strCache>
                <c:ptCount val="7"/>
                <c:pt idx="0">
                  <c:v>Backpack</c:v>
                </c:pt>
                <c:pt idx="1">
                  <c:v>Chair</c:v>
                </c:pt>
                <c:pt idx="2">
                  <c:v>Charger</c:v>
                </c:pt>
                <c:pt idx="3">
                  <c:v>Desk Lamp</c:v>
                </c:pt>
                <c:pt idx="4">
                  <c:v>Notebook</c:v>
                </c:pt>
                <c:pt idx="5">
                  <c:v>Pen Set</c:v>
                </c:pt>
                <c:pt idx="6">
                  <c:v>USB Drive</c:v>
                </c:pt>
              </c:strCache>
            </c:strRef>
          </c:cat>
          <c:val>
            <c:numRef>
              <c:f>'Pivot table'!$N$4:$N$11</c:f>
              <c:numCache>
                <c:formatCode>General</c:formatCode>
                <c:ptCount val="7"/>
                <c:pt idx="0">
                  <c:v>10140</c:v>
                </c:pt>
                <c:pt idx="1">
                  <c:v>2100</c:v>
                </c:pt>
                <c:pt idx="2">
                  <c:v>2100</c:v>
                </c:pt>
                <c:pt idx="3">
                  <c:v>90700</c:v>
                </c:pt>
                <c:pt idx="4">
                  <c:v>17920</c:v>
                </c:pt>
                <c:pt idx="5">
                  <c:v>15600</c:v>
                </c:pt>
                <c:pt idx="6">
                  <c:v>52100</c:v>
                </c:pt>
              </c:numCache>
            </c:numRef>
          </c:val>
        </c:ser>
        <c:dLbls>
          <c:showLegendKey val="0"/>
          <c:showVal val="0"/>
          <c:showCatName val="0"/>
          <c:showSerName val="0"/>
          <c:showPercent val="0"/>
          <c:showBubbleSize val="0"/>
        </c:dLbls>
        <c:gapWidth val="150"/>
        <c:shape val="box"/>
        <c:axId val="363188648"/>
        <c:axId val="363191392"/>
        <c:axId val="0"/>
      </c:bar3DChart>
      <c:catAx>
        <c:axId val="3631886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91392"/>
        <c:crosses val="autoZero"/>
        <c:auto val="1"/>
        <c:lblAlgn val="ctr"/>
        <c:lblOffset val="100"/>
        <c:noMultiLvlLbl val="0"/>
      </c:catAx>
      <c:valAx>
        <c:axId val="36319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88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219075</xdr:colOff>
      <xdr:row>2</xdr:row>
      <xdr:rowOff>62968</xdr:rowOff>
    </xdr:from>
    <xdr:to>
      <xdr:col>18</xdr:col>
      <xdr:colOff>352424</xdr:colOff>
      <xdr:row>46</xdr:row>
      <xdr:rowOff>120119</xdr:rowOff>
    </xdr:to>
    <xdr:sp macro="" textlink="">
      <xdr:nvSpPr>
        <xdr:cNvPr id="3" name="Rounded Rectangle 2"/>
        <xdr:cNvSpPr/>
      </xdr:nvSpPr>
      <xdr:spPr>
        <a:xfrm>
          <a:off x="219075" y="443968"/>
          <a:ext cx="11182349" cy="8439151"/>
        </a:xfrm>
        <a:prstGeom prst="roundRect">
          <a:avLst>
            <a:gd name="adj" fmla="val 1091"/>
          </a:avLst>
        </a:prstGeom>
        <a:solidFill>
          <a:schemeClr val="accent3">
            <a:lumMod val="5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r>
            <a:rPr lang="en-IN" sz="1100">
              <a:solidFill>
                <a:schemeClr val="tx1"/>
              </a:solidFill>
            </a:rPr>
            <a:t>RepA</a:t>
          </a:r>
        </a:p>
      </xdr:txBody>
    </xdr:sp>
    <xdr:clientData/>
  </xdr:twoCellAnchor>
  <xdr:twoCellAnchor>
    <xdr:from>
      <xdr:col>3</xdr:col>
      <xdr:colOff>295274</xdr:colOff>
      <xdr:row>3</xdr:row>
      <xdr:rowOff>52387</xdr:rowOff>
    </xdr:from>
    <xdr:to>
      <xdr:col>18</xdr:col>
      <xdr:colOff>142875</xdr:colOff>
      <xdr:row>45</xdr:row>
      <xdr:rowOff>128588</xdr:rowOff>
    </xdr:to>
    <xdr:sp macro="" textlink="">
      <xdr:nvSpPr>
        <xdr:cNvPr id="4" name="Rounded Rectangle 3"/>
        <xdr:cNvSpPr/>
      </xdr:nvSpPr>
      <xdr:spPr>
        <a:xfrm>
          <a:off x="2136774" y="623887"/>
          <a:ext cx="9055101" cy="8077201"/>
        </a:xfrm>
        <a:prstGeom prst="roundRect">
          <a:avLst>
            <a:gd name="adj" fmla="val 1091"/>
          </a:avLst>
        </a:prstGeom>
        <a:solidFill>
          <a:schemeClr val="accent3">
            <a:lumMod val="20000"/>
            <a:lumOff val="80000"/>
          </a:schemeClr>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495299</xdr:colOff>
      <xdr:row>3</xdr:row>
      <xdr:rowOff>95249</xdr:rowOff>
    </xdr:from>
    <xdr:to>
      <xdr:col>13</xdr:col>
      <xdr:colOff>466724</xdr:colOff>
      <xdr:row>8</xdr:row>
      <xdr:rowOff>66674</xdr:rowOff>
    </xdr:to>
    <mc:AlternateContent xmlns:mc="http://schemas.openxmlformats.org/markup-compatibility/2006" xmlns:tsle="http://schemas.microsoft.com/office/drawing/2012/timeslicer">
      <mc:Choice Requires="tsle">
        <xdr:graphicFrame macro="">
          <xdr:nvGraphicFramePr>
            <xdr:cNvPr id="6"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24099" y="666749"/>
              <a:ext cx="6067425"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533400</xdr:colOff>
      <xdr:row>3</xdr:row>
      <xdr:rowOff>104775</xdr:rowOff>
    </xdr:from>
    <xdr:to>
      <xdr:col>18</xdr:col>
      <xdr:colOff>9526</xdr:colOff>
      <xdr:row>8</xdr:row>
      <xdr:rowOff>66675</xdr:rowOff>
    </xdr:to>
    <mc:AlternateContent xmlns:mc="http://schemas.openxmlformats.org/markup-compatibility/2006" xmlns:a14="http://schemas.microsoft.com/office/drawing/2010/main">
      <mc:Choice Requires="a14">
        <xdr:graphicFrame macro="">
          <xdr:nvGraphicFramePr>
            <xdr:cNvPr id="7"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58200" y="676275"/>
              <a:ext cx="2524126"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495299</xdr:colOff>
      <xdr:row>12</xdr:row>
      <xdr:rowOff>9525</xdr:rowOff>
    </xdr:from>
    <xdr:to>
      <xdr:col>3</xdr:col>
      <xdr:colOff>19050</xdr:colOff>
      <xdr:row>13</xdr:row>
      <xdr:rowOff>180975</xdr:rowOff>
    </xdr:to>
    <xdr:sp macro="" textlink="">
      <xdr:nvSpPr>
        <xdr:cNvPr id="2" name="Rounded Rectangle 1"/>
        <xdr:cNvSpPr/>
      </xdr:nvSpPr>
      <xdr:spPr>
        <a:xfrm>
          <a:off x="495299" y="2295525"/>
          <a:ext cx="1352551" cy="361950"/>
        </a:xfrm>
        <a:prstGeom prst="roundRect">
          <a:avLst/>
        </a:prstGeom>
        <a:solidFill>
          <a:schemeClr val="bg1"/>
        </a:solidFill>
        <a:ln>
          <a:solidFill>
            <a:srgbClr val="00B05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a:solidFill>
                <a:schemeClr val="tx1"/>
              </a:solidFill>
            </a:rPr>
            <a:t>Dashboard</a:t>
          </a:r>
          <a:endParaRPr lang="en-IN" sz="1100">
            <a:solidFill>
              <a:schemeClr val="tx1"/>
            </a:solidFill>
          </a:endParaRPr>
        </a:p>
      </xdr:txBody>
    </xdr:sp>
    <xdr:clientData/>
  </xdr:twoCellAnchor>
  <xdr:twoCellAnchor>
    <xdr:from>
      <xdr:col>0</xdr:col>
      <xdr:colOff>495299</xdr:colOff>
      <xdr:row>15</xdr:row>
      <xdr:rowOff>66676</xdr:rowOff>
    </xdr:from>
    <xdr:to>
      <xdr:col>2</xdr:col>
      <xdr:colOff>561975</xdr:colOff>
      <xdr:row>17</xdr:row>
      <xdr:rowOff>47626</xdr:rowOff>
    </xdr:to>
    <xdr:sp macro="" textlink="">
      <xdr:nvSpPr>
        <xdr:cNvPr id="8" name="Rounded Rectangle 7"/>
        <xdr:cNvSpPr/>
      </xdr:nvSpPr>
      <xdr:spPr>
        <a:xfrm>
          <a:off x="495299" y="2924176"/>
          <a:ext cx="1285876" cy="361950"/>
        </a:xfrm>
        <a:prstGeom prst="roundRect">
          <a:avLst/>
        </a:prstGeom>
        <a:noFill/>
        <a:ln w="28575">
          <a:solidFill>
            <a:schemeClr val="bg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a:solidFill>
                <a:schemeClr val="bg1"/>
              </a:solidFill>
            </a:rPr>
            <a:t>Reports</a:t>
          </a:r>
        </a:p>
      </xdr:txBody>
    </xdr:sp>
    <xdr:clientData/>
  </xdr:twoCellAnchor>
  <xdr:twoCellAnchor>
    <xdr:from>
      <xdr:col>0</xdr:col>
      <xdr:colOff>495299</xdr:colOff>
      <xdr:row>18</xdr:row>
      <xdr:rowOff>123826</xdr:rowOff>
    </xdr:from>
    <xdr:to>
      <xdr:col>2</xdr:col>
      <xdr:colOff>581025</xdr:colOff>
      <xdr:row>20</xdr:row>
      <xdr:rowOff>133350</xdr:rowOff>
    </xdr:to>
    <xdr:sp macro="" textlink="">
      <xdr:nvSpPr>
        <xdr:cNvPr id="9" name="Rounded Rectangle 8"/>
        <xdr:cNvSpPr/>
      </xdr:nvSpPr>
      <xdr:spPr>
        <a:xfrm>
          <a:off x="495299" y="3552826"/>
          <a:ext cx="1304926" cy="390524"/>
        </a:xfrm>
        <a:prstGeom prst="roundRect">
          <a:avLst/>
        </a:prstGeom>
        <a:noFill/>
        <a:ln w="28575">
          <a:solidFill>
            <a:schemeClr val="bg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ctr"/>
          <a:r>
            <a:rPr lang="en-IN" sz="1600"/>
            <a:t>About</a:t>
          </a:r>
          <a:r>
            <a:rPr lang="en-IN" sz="1600" baseline="0"/>
            <a:t> Us</a:t>
          </a:r>
        </a:p>
        <a:p>
          <a:pPr algn="l"/>
          <a:endParaRPr lang="en-IN" sz="1100"/>
        </a:p>
      </xdr:txBody>
    </xdr:sp>
    <xdr:clientData/>
  </xdr:twoCellAnchor>
  <xdr:twoCellAnchor editAs="oneCell">
    <xdr:from>
      <xdr:col>3</xdr:col>
      <xdr:colOff>504824</xdr:colOff>
      <xdr:row>9</xdr:row>
      <xdr:rowOff>57149</xdr:rowOff>
    </xdr:from>
    <xdr:to>
      <xdr:col>18</xdr:col>
      <xdr:colOff>9525</xdr:colOff>
      <xdr:row>12</xdr:row>
      <xdr:rowOff>95249</xdr:rowOff>
    </xdr:to>
    <mc:AlternateContent xmlns:mc="http://schemas.openxmlformats.org/markup-compatibility/2006" xmlns:a14="http://schemas.microsoft.com/office/drawing/2010/main">
      <mc:Choice Requires="a14">
        <xdr:graphicFrame macro="">
          <xdr:nvGraphicFramePr>
            <xdr:cNvPr id="10" name="Item 1"/>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333624" y="1771649"/>
              <a:ext cx="8648701"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514350</xdr:colOff>
      <xdr:row>18</xdr:row>
      <xdr:rowOff>0</xdr:rowOff>
    </xdr:from>
    <xdr:to>
      <xdr:col>6</xdr:col>
      <xdr:colOff>583406</xdr:colOff>
      <xdr:row>21</xdr:row>
      <xdr:rowOff>83344</xdr:rowOff>
    </xdr:to>
    <xdr:sp macro="" textlink="">
      <xdr:nvSpPr>
        <xdr:cNvPr id="5" name="Rounded Rectangle 4"/>
        <xdr:cNvSpPr/>
      </xdr:nvSpPr>
      <xdr:spPr>
        <a:xfrm>
          <a:off x="2336006" y="3429000"/>
          <a:ext cx="1890713" cy="654844"/>
        </a:xfrm>
        <a:prstGeom prst="roundRect">
          <a:avLst/>
        </a:prstGeom>
        <a:solidFill>
          <a:srgbClr val="00B0F0"/>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76200</xdr:colOff>
      <xdr:row>18</xdr:row>
      <xdr:rowOff>0</xdr:rowOff>
    </xdr:from>
    <xdr:to>
      <xdr:col>6</xdr:col>
      <xdr:colOff>583405</xdr:colOff>
      <xdr:row>21</xdr:row>
      <xdr:rowOff>83344</xdr:rowOff>
    </xdr:to>
    <xdr:sp macro="" textlink="">
      <xdr:nvSpPr>
        <xdr:cNvPr id="11" name="Rounded Rectangle 10"/>
        <xdr:cNvSpPr/>
      </xdr:nvSpPr>
      <xdr:spPr>
        <a:xfrm>
          <a:off x="2505075" y="3429000"/>
          <a:ext cx="1721643" cy="654844"/>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130969</xdr:colOff>
      <xdr:row>18</xdr:row>
      <xdr:rowOff>0</xdr:rowOff>
    </xdr:from>
    <xdr:to>
      <xdr:col>10</xdr:col>
      <xdr:colOff>245267</xdr:colOff>
      <xdr:row>21</xdr:row>
      <xdr:rowOff>95250</xdr:rowOff>
    </xdr:to>
    <xdr:sp macro="" textlink="">
      <xdr:nvSpPr>
        <xdr:cNvPr id="12" name="Rounded Rectangle 11"/>
        <xdr:cNvSpPr/>
      </xdr:nvSpPr>
      <xdr:spPr>
        <a:xfrm>
          <a:off x="4381500" y="3429000"/>
          <a:ext cx="1935955" cy="666750"/>
        </a:xfrm>
        <a:prstGeom prst="roundRect">
          <a:avLst/>
        </a:prstGeom>
        <a:solidFill>
          <a:schemeClr val="accent6"/>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309564</xdr:colOff>
      <xdr:row>17</xdr:row>
      <xdr:rowOff>178594</xdr:rowOff>
    </xdr:from>
    <xdr:to>
      <xdr:col>10</xdr:col>
      <xdr:colOff>245269</xdr:colOff>
      <xdr:row>21</xdr:row>
      <xdr:rowOff>95250</xdr:rowOff>
    </xdr:to>
    <xdr:sp macro="" textlink="">
      <xdr:nvSpPr>
        <xdr:cNvPr id="13" name="Rounded Rectangle 12"/>
        <xdr:cNvSpPr/>
      </xdr:nvSpPr>
      <xdr:spPr>
        <a:xfrm>
          <a:off x="4560095" y="3417094"/>
          <a:ext cx="1757362" cy="678656"/>
        </a:xfrm>
        <a:prstGeom prst="round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523875</xdr:colOff>
      <xdr:row>22</xdr:row>
      <xdr:rowOff>166687</xdr:rowOff>
    </xdr:from>
    <xdr:to>
      <xdr:col>10</xdr:col>
      <xdr:colOff>273843</xdr:colOff>
      <xdr:row>44</xdr:row>
      <xdr:rowOff>0</xdr:rowOff>
    </xdr:to>
    <xdr:sp macro="" textlink="">
      <xdr:nvSpPr>
        <xdr:cNvPr id="15" name="Rectangle 14"/>
        <xdr:cNvSpPr/>
      </xdr:nvSpPr>
      <xdr:spPr>
        <a:xfrm>
          <a:off x="2345531" y="4357687"/>
          <a:ext cx="4000500" cy="4024313"/>
        </a:xfrm>
        <a:prstGeom prst="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390524</xdr:colOff>
      <xdr:row>17</xdr:row>
      <xdr:rowOff>164307</xdr:rowOff>
    </xdr:from>
    <xdr:to>
      <xdr:col>18</xdr:col>
      <xdr:colOff>23812</xdr:colOff>
      <xdr:row>30</xdr:row>
      <xdr:rowOff>119062</xdr:rowOff>
    </xdr:to>
    <xdr:sp macro="" textlink="">
      <xdr:nvSpPr>
        <xdr:cNvPr id="16" name="Rectangle 15"/>
        <xdr:cNvSpPr/>
      </xdr:nvSpPr>
      <xdr:spPr>
        <a:xfrm>
          <a:off x="6462712" y="3402807"/>
          <a:ext cx="4491038" cy="2431255"/>
        </a:xfrm>
        <a:prstGeom prst="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376236</xdr:colOff>
      <xdr:row>31</xdr:row>
      <xdr:rowOff>30957</xdr:rowOff>
    </xdr:from>
    <xdr:to>
      <xdr:col>18</xdr:col>
      <xdr:colOff>9524</xdr:colOff>
      <xdr:row>43</xdr:row>
      <xdr:rowOff>176212</xdr:rowOff>
    </xdr:to>
    <xdr:sp macro="" textlink="">
      <xdr:nvSpPr>
        <xdr:cNvPr id="17" name="Rectangle 16"/>
        <xdr:cNvSpPr/>
      </xdr:nvSpPr>
      <xdr:spPr>
        <a:xfrm>
          <a:off x="6448424" y="5936457"/>
          <a:ext cx="4491038" cy="2431255"/>
        </a:xfrm>
        <a:prstGeom prst="rect">
          <a:avLst/>
        </a:prstGeom>
        <a:solidFill>
          <a:schemeClr val="bg1"/>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95250</xdr:colOff>
      <xdr:row>18</xdr:row>
      <xdr:rowOff>47624</xdr:rowOff>
    </xdr:from>
    <xdr:to>
      <xdr:col>4</xdr:col>
      <xdr:colOff>488156</xdr:colOff>
      <xdr:row>21</xdr:row>
      <xdr:rowOff>23811</xdr:rowOff>
    </xdr:to>
    <xdr:pic>
      <xdr:nvPicPr>
        <xdr:cNvPr id="18" name="Picture 1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24125" y="3476624"/>
          <a:ext cx="392906" cy="547687"/>
        </a:xfrm>
        <a:prstGeom prst="rect">
          <a:avLst/>
        </a:prstGeom>
      </xdr:spPr>
    </xdr:pic>
    <xdr:clientData/>
  </xdr:twoCellAnchor>
  <xdr:twoCellAnchor editAs="oneCell">
    <xdr:from>
      <xdr:col>3</xdr:col>
      <xdr:colOff>476250</xdr:colOff>
      <xdr:row>13</xdr:row>
      <xdr:rowOff>190499</xdr:rowOff>
    </xdr:from>
    <xdr:to>
      <xdr:col>4</xdr:col>
      <xdr:colOff>256565</xdr:colOff>
      <xdr:row>16</xdr:row>
      <xdr:rowOff>6533</xdr:rowOff>
    </xdr:to>
    <xdr:pic>
      <xdr:nvPicPr>
        <xdr:cNvPr id="19" name="Picture 18"/>
        <xdr:cNvPicPr>
          <a:picLocks noChangeAspect="1"/>
        </xdr:cNvPicPr>
      </xdr:nvPicPr>
      <xdr:blipFill>
        <a:blip xmlns:r="http://schemas.openxmlformats.org/officeDocument/2006/relationships" r:embed="rId2" cstate="print">
          <a:duotone>
            <a:schemeClr val="accent5">
              <a:shade val="45000"/>
              <a:satMod val="135000"/>
            </a:schemeClr>
            <a:prstClr val="white"/>
          </a:duotone>
          <a:extLst>
            <a:ext uri="{28A0092B-C50C-407E-A947-70E740481C1C}">
              <a14:useLocalDpi xmlns:a14="http://schemas.microsoft.com/office/drawing/2010/main" val="0"/>
            </a:ext>
          </a:extLst>
        </a:blip>
        <a:stretch>
          <a:fillRect/>
        </a:stretch>
      </xdr:blipFill>
      <xdr:spPr>
        <a:xfrm>
          <a:off x="2297906" y="2666999"/>
          <a:ext cx="387534" cy="387534"/>
        </a:xfrm>
        <a:prstGeom prst="rect">
          <a:avLst/>
        </a:prstGeom>
      </xdr:spPr>
    </xdr:pic>
    <xdr:clientData/>
  </xdr:twoCellAnchor>
  <xdr:twoCellAnchor editAs="oneCell">
    <xdr:from>
      <xdr:col>7</xdr:col>
      <xdr:colOff>404812</xdr:colOff>
      <xdr:row>13</xdr:row>
      <xdr:rowOff>142874</xdr:rowOff>
    </xdr:from>
    <xdr:to>
      <xdr:col>8</xdr:col>
      <xdr:colOff>258780</xdr:colOff>
      <xdr:row>16</xdr:row>
      <xdr:rowOff>32561</xdr:rowOff>
    </xdr:to>
    <xdr:pic>
      <xdr:nvPicPr>
        <xdr:cNvPr id="20" name="Picture 19"/>
        <xdr:cNvPicPr>
          <a:picLocks noChangeAspect="1"/>
        </xdr:cNvPicPr>
      </xdr:nvPicPr>
      <xdr:blipFill>
        <a:blip xmlns:r="http://schemas.openxmlformats.org/officeDocument/2006/relationships" r:embed="rId3"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4655343" y="2619374"/>
          <a:ext cx="461187" cy="461187"/>
        </a:xfrm>
        <a:prstGeom prst="rect">
          <a:avLst/>
        </a:prstGeom>
      </xdr:spPr>
    </xdr:pic>
    <xdr:clientData/>
  </xdr:twoCellAnchor>
  <xdr:twoCellAnchor editAs="oneCell">
    <xdr:from>
      <xdr:col>7</xdr:col>
      <xdr:colOff>273845</xdr:colOff>
      <xdr:row>18</xdr:row>
      <xdr:rowOff>47625</xdr:rowOff>
    </xdr:from>
    <xdr:to>
      <xdr:col>8</xdr:col>
      <xdr:colOff>416720</xdr:colOff>
      <xdr:row>21</xdr:row>
      <xdr:rowOff>71727</xdr:rowOff>
    </xdr:to>
    <xdr:pic>
      <xdr:nvPicPr>
        <xdr:cNvPr id="21" name="Picture 20"/>
        <xdr:cNvPicPr>
          <a:picLocks noChangeAspect="1"/>
        </xdr:cNvPicPr>
      </xdr:nvPicPr>
      <xdr:blipFill>
        <a:blip xmlns:r="http://schemas.openxmlformats.org/officeDocument/2006/relationships" r:embed="rId4"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4524376" y="3476625"/>
          <a:ext cx="750094" cy="595602"/>
        </a:xfrm>
        <a:prstGeom prst="rect">
          <a:avLst/>
        </a:prstGeom>
      </xdr:spPr>
    </xdr:pic>
    <xdr:clientData/>
  </xdr:twoCellAnchor>
  <xdr:twoCellAnchor>
    <xdr:from>
      <xdr:col>4</xdr:col>
      <xdr:colOff>392906</xdr:colOff>
      <xdr:row>14</xdr:row>
      <xdr:rowOff>0</xdr:rowOff>
    </xdr:from>
    <xdr:to>
      <xdr:col>7</xdr:col>
      <xdr:colOff>214313</xdr:colOff>
      <xdr:row>16</xdr:row>
      <xdr:rowOff>0</xdr:rowOff>
    </xdr:to>
    <xdr:sp macro="" textlink="">
      <xdr:nvSpPr>
        <xdr:cNvPr id="22" name="Rectangle 21"/>
        <xdr:cNvSpPr/>
      </xdr:nvSpPr>
      <xdr:spPr>
        <a:xfrm>
          <a:off x="2821781" y="2667000"/>
          <a:ext cx="1643063" cy="381000"/>
        </a:xfrm>
        <a:prstGeom prst="rect">
          <a:avLst/>
        </a:prstGeom>
        <a:no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600" b="1">
              <a:solidFill>
                <a:sysClr val="windowText" lastClr="000000"/>
              </a:solidFill>
            </a:rPr>
            <a:t>Data</a:t>
          </a:r>
          <a:r>
            <a:rPr lang="en-IN" sz="1600" b="1" baseline="0">
              <a:solidFill>
                <a:sysClr val="windowText" lastClr="000000"/>
              </a:solidFill>
            </a:rPr>
            <a:t> </a:t>
          </a:r>
          <a:r>
            <a:rPr lang="en-IN" sz="1600" b="1">
              <a:solidFill>
                <a:sysClr val="windowText" lastClr="000000"/>
              </a:solidFill>
            </a:rPr>
            <a:t>Analytics</a:t>
          </a:r>
        </a:p>
      </xdr:txBody>
    </xdr:sp>
    <xdr:clientData/>
  </xdr:twoCellAnchor>
  <xdr:twoCellAnchor>
    <xdr:from>
      <xdr:col>4</xdr:col>
      <xdr:colOff>247649</xdr:colOff>
      <xdr:row>17</xdr:row>
      <xdr:rowOff>140494</xdr:rowOff>
    </xdr:from>
    <xdr:to>
      <xdr:col>7</xdr:col>
      <xdr:colOff>69056</xdr:colOff>
      <xdr:row>19</xdr:row>
      <xdr:rowOff>140494</xdr:rowOff>
    </xdr:to>
    <xdr:sp macro="" textlink="">
      <xdr:nvSpPr>
        <xdr:cNvPr id="24" name="Rectangle 23"/>
        <xdr:cNvSpPr/>
      </xdr:nvSpPr>
      <xdr:spPr>
        <a:xfrm>
          <a:off x="2676524" y="3378994"/>
          <a:ext cx="1643063"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solidFill>
                <a:sysClr val="windowText" lastClr="000000"/>
              </a:solidFill>
              <a:effectLst/>
              <a:latin typeface="+mn-lt"/>
              <a:ea typeface="+mn-ea"/>
              <a:cs typeface="+mn-cs"/>
            </a:rPr>
            <a:t>Total</a:t>
          </a:r>
          <a:r>
            <a:rPr lang="en-IN" sz="1400" b="1" baseline="0">
              <a:solidFill>
                <a:sysClr val="windowText" lastClr="000000"/>
              </a:solidFill>
              <a:effectLst/>
              <a:latin typeface="+mn-lt"/>
              <a:ea typeface="+mn-ea"/>
              <a:cs typeface="+mn-cs"/>
            </a:rPr>
            <a:t> Amount</a:t>
          </a:r>
          <a:endParaRPr lang="en-IN" sz="2000" b="1">
            <a:solidFill>
              <a:sysClr val="windowText" lastClr="000000"/>
            </a:solidFill>
            <a:effectLst/>
          </a:endParaRPr>
        </a:p>
      </xdr:txBody>
    </xdr:sp>
    <xdr:clientData/>
  </xdr:twoCellAnchor>
  <xdr:twoCellAnchor>
    <xdr:from>
      <xdr:col>8</xdr:col>
      <xdr:colOff>54767</xdr:colOff>
      <xdr:row>17</xdr:row>
      <xdr:rowOff>138113</xdr:rowOff>
    </xdr:from>
    <xdr:to>
      <xdr:col>10</xdr:col>
      <xdr:colOff>483392</xdr:colOff>
      <xdr:row>19</xdr:row>
      <xdr:rowOff>138113</xdr:rowOff>
    </xdr:to>
    <xdr:sp macro="" textlink="">
      <xdr:nvSpPr>
        <xdr:cNvPr id="25" name="Rectangle 24"/>
        <xdr:cNvSpPr/>
      </xdr:nvSpPr>
      <xdr:spPr>
        <a:xfrm>
          <a:off x="4912517" y="3376613"/>
          <a:ext cx="1643063"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solidFill>
                <a:sysClr val="windowText" lastClr="000000"/>
              </a:solidFill>
              <a:effectLst/>
              <a:latin typeface="+mn-lt"/>
              <a:ea typeface="+mn-ea"/>
              <a:cs typeface="+mn-cs"/>
            </a:rPr>
            <a:t>Total</a:t>
          </a:r>
          <a:r>
            <a:rPr lang="en-IN" sz="1400" b="1" baseline="0">
              <a:solidFill>
                <a:sysClr val="windowText" lastClr="000000"/>
              </a:solidFill>
              <a:effectLst/>
              <a:latin typeface="+mn-lt"/>
              <a:ea typeface="+mn-ea"/>
              <a:cs typeface="+mn-cs"/>
            </a:rPr>
            <a:t> Sales</a:t>
          </a:r>
          <a:endParaRPr lang="en-IN" sz="2000" b="1">
            <a:solidFill>
              <a:sysClr val="windowText" lastClr="000000"/>
            </a:solidFill>
            <a:effectLst/>
          </a:endParaRPr>
        </a:p>
      </xdr:txBody>
    </xdr:sp>
    <xdr:clientData/>
  </xdr:twoCellAnchor>
  <xdr:twoCellAnchor>
    <xdr:from>
      <xdr:col>10</xdr:col>
      <xdr:colOff>428623</xdr:colOff>
      <xdr:row>17</xdr:row>
      <xdr:rowOff>185738</xdr:rowOff>
    </xdr:from>
    <xdr:to>
      <xdr:col>13</xdr:col>
      <xdr:colOff>166686</xdr:colOff>
      <xdr:row>19</xdr:row>
      <xdr:rowOff>185738</xdr:rowOff>
    </xdr:to>
    <xdr:sp macro="" textlink="">
      <xdr:nvSpPr>
        <xdr:cNvPr id="26" name="Rectangle 25"/>
        <xdr:cNvSpPr/>
      </xdr:nvSpPr>
      <xdr:spPr>
        <a:xfrm>
          <a:off x="6500811" y="3424238"/>
          <a:ext cx="1559719"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solidFill>
                <a:sysClr val="windowText" lastClr="000000"/>
              </a:solidFill>
              <a:effectLst/>
              <a:latin typeface="+mn-lt"/>
              <a:ea typeface="+mn-ea"/>
              <a:cs typeface="+mn-cs"/>
            </a:rPr>
            <a:t>Regional Sales</a:t>
          </a:r>
          <a:endParaRPr lang="en-IN" sz="2000" b="1">
            <a:solidFill>
              <a:sysClr val="windowText" lastClr="000000"/>
            </a:solidFill>
            <a:effectLst/>
          </a:endParaRPr>
        </a:p>
      </xdr:txBody>
    </xdr:sp>
    <xdr:clientData/>
  </xdr:twoCellAnchor>
  <xdr:twoCellAnchor>
    <xdr:from>
      <xdr:col>10</xdr:col>
      <xdr:colOff>171448</xdr:colOff>
      <xdr:row>31</xdr:row>
      <xdr:rowOff>40482</xdr:rowOff>
    </xdr:from>
    <xdr:to>
      <xdr:col>14</xdr:col>
      <xdr:colOff>-1</xdr:colOff>
      <xdr:row>33</xdr:row>
      <xdr:rowOff>40482</xdr:rowOff>
    </xdr:to>
    <xdr:sp macro="" textlink="">
      <xdr:nvSpPr>
        <xdr:cNvPr id="27" name="Rectangle 26"/>
        <xdr:cNvSpPr/>
      </xdr:nvSpPr>
      <xdr:spPr>
        <a:xfrm>
          <a:off x="6243636" y="5945982"/>
          <a:ext cx="2257426"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solidFill>
                <a:sysClr val="windowText" lastClr="000000"/>
              </a:solidFill>
              <a:effectLst/>
              <a:latin typeface="+mn-lt"/>
              <a:ea typeface="+mn-ea"/>
              <a:cs typeface="+mn-cs"/>
            </a:rPr>
            <a:t>Monthly Sales Repot</a:t>
          </a:r>
          <a:endParaRPr lang="en-IN" sz="2000" b="1">
            <a:solidFill>
              <a:sysClr val="windowText" lastClr="000000"/>
            </a:solidFill>
            <a:effectLst/>
          </a:endParaRPr>
        </a:p>
      </xdr:txBody>
    </xdr:sp>
    <xdr:clientData/>
  </xdr:twoCellAnchor>
  <xdr:twoCellAnchor>
    <xdr:from>
      <xdr:col>3</xdr:col>
      <xdr:colOff>476250</xdr:colOff>
      <xdr:row>23</xdr:row>
      <xdr:rowOff>14287</xdr:rowOff>
    </xdr:from>
    <xdr:to>
      <xdr:col>6</xdr:col>
      <xdr:colOff>238125</xdr:colOff>
      <xdr:row>25</xdr:row>
      <xdr:rowOff>14287</xdr:rowOff>
    </xdr:to>
    <xdr:sp macro="" textlink="">
      <xdr:nvSpPr>
        <xdr:cNvPr id="28" name="Rectangle 27"/>
        <xdr:cNvSpPr/>
      </xdr:nvSpPr>
      <xdr:spPr>
        <a:xfrm>
          <a:off x="2297906" y="4395787"/>
          <a:ext cx="1583532"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solidFill>
                <a:sysClr val="windowText" lastClr="000000"/>
              </a:solidFill>
              <a:effectLst/>
              <a:latin typeface="+mn-lt"/>
              <a:ea typeface="+mn-ea"/>
              <a:cs typeface="+mn-cs"/>
            </a:rPr>
            <a:t>Product</a:t>
          </a:r>
          <a:r>
            <a:rPr lang="en-IN" sz="1400" b="1" baseline="0">
              <a:solidFill>
                <a:sysClr val="windowText" lastClr="000000"/>
              </a:solidFill>
              <a:effectLst/>
              <a:latin typeface="+mn-lt"/>
              <a:ea typeface="+mn-ea"/>
              <a:cs typeface="+mn-cs"/>
            </a:rPr>
            <a:t> Sales</a:t>
          </a:r>
          <a:endParaRPr lang="en-IN" sz="2000" b="1">
            <a:solidFill>
              <a:sysClr val="windowText" lastClr="000000"/>
            </a:solidFill>
            <a:effectLst/>
          </a:endParaRPr>
        </a:p>
      </xdr:txBody>
    </xdr:sp>
    <xdr:clientData/>
  </xdr:twoCellAnchor>
  <xdr:twoCellAnchor>
    <xdr:from>
      <xdr:col>11</xdr:col>
      <xdr:colOff>59532</xdr:colOff>
      <xdr:row>20</xdr:row>
      <xdr:rowOff>11906</xdr:rowOff>
    </xdr:from>
    <xdr:to>
      <xdr:col>17</xdr:col>
      <xdr:colOff>169069</xdr:colOff>
      <xdr:row>29</xdr:row>
      <xdr:rowOff>35718</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500062</xdr:colOff>
      <xdr:row>33</xdr:row>
      <xdr:rowOff>59531</xdr:rowOff>
    </xdr:from>
    <xdr:to>
      <xdr:col>17</xdr:col>
      <xdr:colOff>261936</xdr:colOff>
      <xdr:row>42</xdr:row>
      <xdr:rowOff>178594</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26</xdr:row>
      <xdr:rowOff>11906</xdr:rowOff>
    </xdr:from>
    <xdr:to>
      <xdr:col>10</xdr:col>
      <xdr:colOff>154781</xdr:colOff>
      <xdr:row>40</xdr:row>
      <xdr:rowOff>154781</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507205</xdr:colOff>
      <xdr:row>23</xdr:row>
      <xdr:rowOff>7144</xdr:rowOff>
    </xdr:from>
    <xdr:to>
      <xdr:col>10</xdr:col>
      <xdr:colOff>328611</xdr:colOff>
      <xdr:row>25</xdr:row>
      <xdr:rowOff>7144</xdr:rowOff>
    </xdr:to>
    <xdr:sp macro="" textlink="">
      <xdr:nvSpPr>
        <xdr:cNvPr id="33" name="Rectangle 32"/>
        <xdr:cNvSpPr/>
      </xdr:nvSpPr>
      <xdr:spPr>
        <a:xfrm>
          <a:off x="4757736" y="4388644"/>
          <a:ext cx="1643063"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2000" b="1">
            <a:solidFill>
              <a:sysClr val="windowText" lastClr="000000"/>
            </a:solidFill>
            <a:effectLst/>
          </a:endParaRPr>
        </a:p>
      </xdr:txBody>
    </xdr:sp>
    <xdr:clientData/>
  </xdr:twoCellAnchor>
  <xdr:twoCellAnchor>
    <xdr:from>
      <xdr:col>7</xdr:col>
      <xdr:colOff>269080</xdr:colOff>
      <xdr:row>23</xdr:row>
      <xdr:rowOff>19051</xdr:rowOff>
    </xdr:from>
    <xdr:to>
      <xdr:col>10</xdr:col>
      <xdr:colOff>90486</xdr:colOff>
      <xdr:row>25</xdr:row>
      <xdr:rowOff>19051</xdr:rowOff>
    </xdr:to>
    <xdr:sp macro="" textlink="">
      <xdr:nvSpPr>
        <xdr:cNvPr id="34" name="Rectangle 33"/>
        <xdr:cNvSpPr/>
      </xdr:nvSpPr>
      <xdr:spPr>
        <a:xfrm>
          <a:off x="4519611" y="4400551"/>
          <a:ext cx="1643063"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2000" b="1">
            <a:solidFill>
              <a:sysClr val="windowText" lastClr="000000"/>
            </a:solidFill>
            <a:effectLst/>
          </a:endParaRPr>
        </a:p>
      </xdr:txBody>
    </xdr:sp>
    <xdr:clientData/>
  </xdr:twoCellAnchor>
  <xdr:twoCellAnchor>
    <xdr:from>
      <xdr:col>4</xdr:col>
      <xdr:colOff>238125</xdr:colOff>
      <xdr:row>19</xdr:row>
      <xdr:rowOff>54770</xdr:rowOff>
    </xdr:from>
    <xdr:to>
      <xdr:col>6</xdr:col>
      <xdr:colOff>590549</xdr:colOff>
      <xdr:row>21</xdr:row>
      <xdr:rowOff>54770</xdr:rowOff>
    </xdr:to>
    <xdr:sp macro="" textlink="'Pivot table'!H11">
      <xdr:nvSpPr>
        <xdr:cNvPr id="35" name="Rectangle 34"/>
        <xdr:cNvSpPr/>
      </xdr:nvSpPr>
      <xdr:spPr>
        <a:xfrm>
          <a:off x="2667000" y="3674270"/>
          <a:ext cx="1566862"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96AAAC9D-24DD-4239-AA4F-C47CCCF26522}" type="TxLink">
            <a:rPr lang="en-US" sz="1600" b="1" i="0" u="none" strike="noStrike">
              <a:solidFill>
                <a:srgbClr val="00B0F0"/>
              </a:solidFill>
              <a:effectLst/>
              <a:latin typeface="Calibri"/>
              <a:ea typeface="Calibri"/>
              <a:cs typeface="Calibri"/>
            </a:rPr>
            <a:t>1,90,660</a:t>
          </a:fld>
          <a:endParaRPr lang="en-IN" sz="3200" b="1">
            <a:solidFill>
              <a:srgbClr val="00B0F0"/>
            </a:solidFill>
            <a:effectLst/>
          </a:endParaRPr>
        </a:p>
      </xdr:txBody>
    </xdr:sp>
    <xdr:clientData/>
  </xdr:twoCellAnchor>
  <xdr:twoCellAnchor>
    <xdr:from>
      <xdr:col>7</xdr:col>
      <xdr:colOff>600074</xdr:colOff>
      <xdr:row>19</xdr:row>
      <xdr:rowOff>76201</xdr:rowOff>
    </xdr:from>
    <xdr:to>
      <xdr:col>10</xdr:col>
      <xdr:colOff>421480</xdr:colOff>
      <xdr:row>21</xdr:row>
      <xdr:rowOff>76201</xdr:rowOff>
    </xdr:to>
    <xdr:sp macro="" textlink="'Pivot table'!H15">
      <xdr:nvSpPr>
        <xdr:cNvPr id="36" name="Rectangle 35"/>
        <xdr:cNvSpPr/>
      </xdr:nvSpPr>
      <xdr:spPr>
        <a:xfrm>
          <a:off x="4850605" y="3695701"/>
          <a:ext cx="1643063" cy="38100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F13287B1-116F-44F9-9414-E20ACFAAE4F5}" type="TxLink">
            <a:rPr lang="en-US" sz="1600" b="1" i="0" u="none" strike="noStrike">
              <a:solidFill>
                <a:schemeClr val="accent6"/>
              </a:solidFill>
              <a:effectLst/>
              <a:latin typeface="Calibri"/>
              <a:ea typeface="Calibri"/>
              <a:cs typeface="Calibri"/>
            </a:rPr>
            <a:t>16</a:t>
          </a:fld>
          <a:endParaRPr lang="en-IN" sz="3200" b="1">
            <a:solidFill>
              <a:schemeClr val="accent6"/>
            </a:soli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35</xdr:row>
      <xdr:rowOff>0</xdr:rowOff>
    </xdr:from>
    <xdr:to>
      <xdr:col>8</xdr:col>
      <xdr:colOff>447675</xdr:colOff>
      <xdr:row>39</xdr:row>
      <xdr:rowOff>161925</xdr:rowOff>
    </xdr:to>
    <mc:AlternateContent xmlns:mc="http://schemas.openxmlformats.org/markup-compatibility/2006" xmlns:tsle="http://schemas.microsoft.com/office/drawing/2012/timeslicer">
      <mc:Choice Requires="tsle">
        <xdr:graphicFrame macro="">
          <xdr:nvGraphicFramePr>
            <xdr:cNvPr id="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14400" y="6667500"/>
              <a:ext cx="6067425" cy="9239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828674</xdr:colOff>
      <xdr:row>13</xdr:row>
      <xdr:rowOff>152401</xdr:rowOff>
    </xdr:from>
    <xdr:to>
      <xdr:col>4</xdr:col>
      <xdr:colOff>742949</xdr:colOff>
      <xdr:row>18</xdr:row>
      <xdr:rowOff>152401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8674" y="2628901"/>
              <a:ext cx="2886075"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9524</xdr:colOff>
      <xdr:row>19</xdr:row>
      <xdr:rowOff>85726</xdr:rowOff>
    </xdr:from>
    <xdr:to>
      <xdr:col>8</xdr:col>
      <xdr:colOff>142875</xdr:colOff>
      <xdr:row>22</xdr:row>
      <xdr:rowOff>123826</xdr:rowOff>
    </xdr:to>
    <mc:AlternateContent xmlns:mc="http://schemas.openxmlformats.org/markup-compatibility/2006" xmlns:a14="http://schemas.microsoft.com/office/drawing/2010/main">
      <mc:Choice Requires="a14">
        <xdr:graphicFrame macro="">
          <xdr:nvGraphicFramePr>
            <xdr:cNvPr id="4" name="Item"/>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885824" y="3705226"/>
              <a:ext cx="5791201"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9525</xdr:colOff>
      <xdr:row>23</xdr:row>
      <xdr:rowOff>142875</xdr:rowOff>
    </xdr:from>
    <xdr:to>
      <xdr:col>6</xdr:col>
      <xdr:colOff>180975</xdr:colOff>
      <xdr:row>32</xdr:row>
      <xdr:rowOff>166687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276225</xdr:colOff>
      <xdr:row>40</xdr:row>
      <xdr:rowOff>47625</xdr:rowOff>
    </xdr:from>
    <xdr:to>
      <xdr:col>6</xdr:col>
      <xdr:colOff>428625</xdr:colOff>
      <xdr:row>52</xdr:row>
      <xdr:rowOff>33337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514350</xdr:colOff>
      <xdr:row>23</xdr:row>
      <xdr:rowOff>76199</xdr:rowOff>
    </xdr:from>
    <xdr:to>
      <xdr:col>10</xdr:col>
      <xdr:colOff>542925</xdr:colOff>
      <xdr:row>31</xdr:row>
      <xdr:rowOff>71436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Quality Thought" refreshedDate="46192.844062384262" createdVersion="5" refreshedVersion="5" minRefreshableVersion="3" recordCount="61">
  <cacheSource type="worksheet">
    <worksheetSource ref="A1:H62" sheet="Data List"/>
  </cacheSource>
  <cacheFields count="8">
    <cacheField name="SI No" numFmtId="0">
      <sharedItems containsSemiMixedTypes="0" containsString="0" containsNumber="1" containsInteger="1" minValue="1" maxValue="62"/>
    </cacheField>
    <cacheField name="Date" numFmtId="14">
      <sharedItems containsSemiMixedTypes="0" containsNonDate="0" containsDate="1" containsString="0" minDate="2025-09-16T00:00:00" maxDate="2025-11-17T00:00:00" count="61">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sharedItems>
      <fieldGroup base="1">
        <rangePr groupBy="months" startDate="2025-09-16T00:00:00" endDate="2025-11-17T00:00:00"/>
        <groupItems count="14">
          <s v="&lt;16-09-25"/>
          <s v="Jan"/>
          <s v="Feb"/>
          <s v="Mar"/>
          <s v="Apr"/>
          <s v="May"/>
          <s v="Jun"/>
          <s v="Jul"/>
          <s v="Aug"/>
          <s v="Sep"/>
          <s v="Oct"/>
          <s v="Nov"/>
          <s v="Dec"/>
          <s v="&gt;17-11-25"/>
        </groupItems>
      </fieldGroup>
    </cacheField>
    <cacheField name="Customer" numFmtId="0">
      <sharedItems/>
    </cacheField>
    <cacheField name="Region" numFmtId="0">
      <sharedItems count="4">
        <s v="North"/>
        <s v="South"/>
        <s v="East"/>
        <s v="West"/>
      </sharedItems>
    </cacheField>
    <cacheField name="Item" numFmtId="0">
      <sharedItems count="8">
        <s v="Notebook"/>
        <s v="Charger"/>
        <s v="Backpack"/>
        <s v="Pen Set"/>
        <s v="Desk Lamp"/>
        <s v="Chair"/>
        <s v="USB Drive"/>
        <s v="Desk Demp"/>
      </sharedItems>
    </cacheField>
    <cacheField name="Qty" numFmtId="0">
      <sharedItems containsSemiMixedTypes="0" containsString="0" containsNumber="1" containsInteger="1" minValue="10" maxValue="63"/>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1050" maxValue="336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1">
  <r>
    <n v="1"/>
    <x v="0"/>
    <s v="Emily Johnson"/>
    <x v="0"/>
    <x v="0"/>
    <n v="21"/>
    <n v="50"/>
    <n v="1050"/>
  </r>
  <r>
    <n v="2"/>
    <x v="1"/>
    <s v="Olivia Brown"/>
    <x v="1"/>
    <x v="1"/>
    <n v="36"/>
    <n v="500"/>
    <n v="18000"/>
  </r>
  <r>
    <n v="3"/>
    <x v="2"/>
    <s v="Ramesh Kumar"/>
    <x v="2"/>
    <x v="2"/>
    <n v="32"/>
    <n v="120"/>
    <n v="3840"/>
  </r>
  <r>
    <n v="4"/>
    <x v="3"/>
    <s v="Maria Angelica"/>
    <x v="3"/>
    <x v="3"/>
    <n v="21"/>
    <n v="50"/>
    <n v="1050"/>
  </r>
  <r>
    <n v="5"/>
    <x v="4"/>
    <s v="Mohammad Ali"/>
    <x v="0"/>
    <x v="4"/>
    <n v="23"/>
    <n v="8000"/>
    <n v="184000"/>
  </r>
  <r>
    <n v="6"/>
    <x v="5"/>
    <s v="Fatima Al Mak"/>
    <x v="1"/>
    <x v="5"/>
    <n v="10"/>
    <n v="600"/>
    <n v="6000"/>
  </r>
  <r>
    <n v="7"/>
    <x v="6"/>
    <s v="Ethan Lee"/>
    <x v="3"/>
    <x v="4"/>
    <n v="25"/>
    <n v="152"/>
    <n v="3800"/>
  </r>
  <r>
    <n v="8"/>
    <x v="7"/>
    <s v="Ava Jenkins"/>
    <x v="2"/>
    <x v="6"/>
    <n v="63"/>
    <n v="500"/>
    <n v="31500"/>
  </r>
  <r>
    <n v="9"/>
    <x v="8"/>
    <s v="Lukas Müller"/>
    <x v="0"/>
    <x v="0"/>
    <n v="45"/>
    <n v="500"/>
    <n v="22500"/>
  </r>
  <r>
    <n v="10"/>
    <x v="9"/>
    <s v="Yui Nakamura"/>
    <x v="0"/>
    <x v="1"/>
    <n v="56"/>
    <n v="6000"/>
    <n v="336000"/>
  </r>
  <r>
    <n v="11"/>
    <x v="10"/>
    <s v="Maria Angelica"/>
    <x v="1"/>
    <x v="2"/>
    <n v="21"/>
    <n v="120"/>
    <n v="2520"/>
  </r>
  <r>
    <n v="12"/>
    <x v="11"/>
    <s v="Mohammad Ali"/>
    <x v="1"/>
    <x v="3"/>
    <n v="36"/>
    <n v="230"/>
    <n v="8280"/>
  </r>
  <r>
    <n v="13"/>
    <x v="12"/>
    <s v="Fatima Al Mak"/>
    <x v="2"/>
    <x v="4"/>
    <n v="32"/>
    <n v="600"/>
    <n v="19200"/>
  </r>
  <r>
    <n v="14"/>
    <x v="13"/>
    <s v="Ethan Lee"/>
    <x v="2"/>
    <x v="5"/>
    <n v="21"/>
    <n v="100"/>
    <n v="2100"/>
  </r>
  <r>
    <n v="15"/>
    <x v="14"/>
    <s v="Ava Jenkins"/>
    <x v="3"/>
    <x v="4"/>
    <n v="23"/>
    <n v="200"/>
    <n v="4600"/>
  </r>
  <r>
    <n v="16"/>
    <x v="15"/>
    <s v="Lukas Müller"/>
    <x v="2"/>
    <x v="6"/>
    <n v="10"/>
    <n v="300"/>
    <n v="3000"/>
  </r>
  <r>
    <n v="17"/>
    <x v="16"/>
    <s v="Yui Nakamura"/>
    <x v="3"/>
    <x v="3"/>
    <n v="25"/>
    <n v="200"/>
    <n v="5000"/>
  </r>
  <r>
    <n v="18"/>
    <x v="17"/>
    <s v="Maria Angelica"/>
    <x v="0"/>
    <x v="4"/>
    <n v="63"/>
    <n v="300"/>
    <n v="18900"/>
  </r>
  <r>
    <n v="19"/>
    <x v="18"/>
    <s v="Mohammad Ali"/>
    <x v="1"/>
    <x v="5"/>
    <n v="45"/>
    <n v="140"/>
    <n v="6300"/>
  </r>
  <r>
    <n v="20"/>
    <x v="19"/>
    <s v="Fatima Al Mak"/>
    <x v="2"/>
    <x v="4"/>
    <n v="56"/>
    <n v="500"/>
    <n v="28000"/>
  </r>
  <r>
    <n v="21"/>
    <x v="20"/>
    <s v="Ethan Lee"/>
    <x v="3"/>
    <x v="6"/>
    <n v="21"/>
    <n v="300"/>
    <n v="6300"/>
  </r>
  <r>
    <n v="22"/>
    <x v="21"/>
    <s v="Ava Jenkins"/>
    <x v="0"/>
    <x v="0"/>
    <n v="36"/>
    <n v="630"/>
    <n v="22680"/>
  </r>
  <r>
    <n v="23"/>
    <x v="22"/>
    <s v="Lukas Müller"/>
    <x v="1"/>
    <x v="1"/>
    <n v="32"/>
    <n v="220"/>
    <n v="7040"/>
  </r>
  <r>
    <n v="24"/>
    <x v="23"/>
    <s v="Yui Nakamura"/>
    <x v="2"/>
    <x v="2"/>
    <n v="21"/>
    <n v="300"/>
    <n v="6300"/>
  </r>
  <r>
    <n v="25"/>
    <x v="24"/>
    <s v="Maria Angelica"/>
    <x v="3"/>
    <x v="3"/>
    <n v="23"/>
    <n v="400"/>
    <n v="9200"/>
  </r>
  <r>
    <n v="27"/>
    <x v="25"/>
    <s v="Mohammad Ali"/>
    <x v="0"/>
    <x v="0"/>
    <n v="21"/>
    <n v="220"/>
    <n v="4600"/>
  </r>
  <r>
    <n v="28"/>
    <x v="26"/>
    <s v="Fatima Al Mak"/>
    <x v="1"/>
    <x v="5"/>
    <n v="36"/>
    <n v="352"/>
    <n v="8800"/>
  </r>
  <r>
    <n v="29"/>
    <x v="27"/>
    <s v="Ethan Lee"/>
    <x v="2"/>
    <x v="4"/>
    <n v="32"/>
    <n v="300"/>
    <n v="6300"/>
  </r>
  <r>
    <n v="30"/>
    <x v="28"/>
    <s v="Ava Jenkins"/>
    <x v="3"/>
    <x v="6"/>
    <n v="21"/>
    <n v="400"/>
    <n v="9200"/>
  </r>
  <r>
    <n v="31"/>
    <x v="29"/>
    <s v="Lukas Müller"/>
    <x v="0"/>
    <x v="0"/>
    <n v="23"/>
    <n v="150"/>
    <n v="8400"/>
  </r>
  <r>
    <n v="32"/>
    <x v="30"/>
    <s v="Yui Nakamura"/>
    <x v="1"/>
    <x v="5"/>
    <n v="10"/>
    <n v="630"/>
    <n v="22680"/>
  </r>
  <r>
    <n v="33"/>
    <x v="31"/>
    <s v="Maria Angelica"/>
    <x v="2"/>
    <x v="4"/>
    <n v="25"/>
    <n v="400"/>
    <n v="9200"/>
  </r>
  <r>
    <n v="34"/>
    <x v="32"/>
    <s v="Mohammad Ali"/>
    <x v="3"/>
    <x v="6"/>
    <n v="63"/>
    <n v="500"/>
    <n v="2800"/>
  </r>
  <r>
    <n v="35"/>
    <x v="33"/>
    <s v="Fatima Al Mak"/>
    <x v="0"/>
    <x v="0"/>
    <n v="45"/>
    <n v="150"/>
    <n v="8400"/>
  </r>
  <r>
    <n v="36"/>
    <x v="34"/>
    <s v="Ethan Lee"/>
    <x v="1"/>
    <x v="5"/>
    <n v="56"/>
    <n v="630"/>
    <n v="22680"/>
  </r>
  <r>
    <n v="37"/>
    <x v="35"/>
    <s v="Lukas Müller"/>
    <x v="2"/>
    <x v="6"/>
    <n v="25"/>
    <n v="352"/>
    <n v="8800"/>
  </r>
  <r>
    <n v="38"/>
    <x v="36"/>
    <s v="Yui Nakamura"/>
    <x v="3"/>
    <x v="0"/>
    <n v="63"/>
    <n v="200"/>
    <n v="12600"/>
  </r>
  <r>
    <n v="39"/>
    <x v="37"/>
    <s v="Maria Angelica"/>
    <x v="0"/>
    <x v="1"/>
    <n v="45"/>
    <n v="320"/>
    <n v="14400"/>
  </r>
  <r>
    <n v="40"/>
    <x v="38"/>
    <s v="Mohammad Ali"/>
    <x v="1"/>
    <x v="2"/>
    <n v="56"/>
    <n v="150"/>
    <n v="8400"/>
  </r>
  <r>
    <n v="41"/>
    <x v="39"/>
    <s v="Fatima Al Mak"/>
    <x v="3"/>
    <x v="3"/>
    <n v="52"/>
    <n v="320"/>
    <n v="16640"/>
  </r>
  <r>
    <n v="42"/>
    <x v="40"/>
    <s v="Fatima Al Mak"/>
    <x v="2"/>
    <x v="4"/>
    <n v="56"/>
    <n v="500"/>
    <n v="28000"/>
  </r>
  <r>
    <n v="43"/>
    <x v="41"/>
    <s v="Ethan Lee"/>
    <x v="3"/>
    <x v="6"/>
    <n v="21"/>
    <n v="300"/>
    <n v="6300"/>
  </r>
  <r>
    <n v="44"/>
    <x v="42"/>
    <s v="Ava Jenkins"/>
    <x v="0"/>
    <x v="0"/>
    <n v="36"/>
    <n v="630"/>
    <n v="22680"/>
  </r>
  <r>
    <n v="45"/>
    <x v="43"/>
    <s v="Lukas Müller"/>
    <x v="1"/>
    <x v="1"/>
    <n v="32"/>
    <n v="220"/>
    <n v="7040"/>
  </r>
  <r>
    <n v="46"/>
    <x v="44"/>
    <s v="Yui Nakamura"/>
    <x v="3"/>
    <x v="2"/>
    <n v="21"/>
    <n v="300"/>
    <n v="6300"/>
  </r>
  <r>
    <n v="47"/>
    <x v="45"/>
    <s v="Maria Angelica"/>
    <x v="2"/>
    <x v="3"/>
    <n v="23"/>
    <n v="400"/>
    <n v="9200"/>
  </r>
  <r>
    <n v="48"/>
    <x v="46"/>
    <s v="Mohammad Ali"/>
    <x v="0"/>
    <x v="4"/>
    <n v="10"/>
    <n v="300"/>
    <n v="3000"/>
  </r>
  <r>
    <n v="49"/>
    <x v="47"/>
    <s v="Fatima Al Mak"/>
    <x v="0"/>
    <x v="5"/>
    <n v="25"/>
    <n v="250"/>
    <n v="6250"/>
  </r>
  <r>
    <n v="50"/>
    <x v="48"/>
    <s v="Ethan Lee"/>
    <x v="1"/>
    <x v="4"/>
    <n v="63"/>
    <n v="300"/>
    <n v="18900"/>
  </r>
  <r>
    <n v="51"/>
    <x v="49"/>
    <s v="Ava Jenkins"/>
    <x v="1"/>
    <x v="6"/>
    <n v="45"/>
    <n v="200"/>
    <n v="9000"/>
  </r>
  <r>
    <n v="52"/>
    <x v="50"/>
    <s v="Lukas Müller"/>
    <x v="2"/>
    <x v="0"/>
    <n v="56"/>
    <n v="320"/>
    <n v="17920"/>
  </r>
  <r>
    <n v="53"/>
    <x v="51"/>
    <s v="Yui Nakamura"/>
    <x v="2"/>
    <x v="1"/>
    <n v="21"/>
    <n v="100"/>
    <n v="2100"/>
  </r>
  <r>
    <n v="54"/>
    <x v="52"/>
    <s v="Maria Angelica"/>
    <x v="3"/>
    <x v="2"/>
    <n v="36"/>
    <n v="200"/>
    <n v="7200"/>
  </r>
  <r>
    <n v="55"/>
    <x v="53"/>
    <s v="Mohammad Ali"/>
    <x v="2"/>
    <x v="3"/>
    <n v="32"/>
    <n v="200"/>
    <n v="6400"/>
  </r>
  <r>
    <n v="56"/>
    <x v="54"/>
    <s v="Fatima Al Mak"/>
    <x v="3"/>
    <x v="4"/>
    <n v="21"/>
    <n v="300"/>
    <n v="6300"/>
  </r>
  <r>
    <n v="57"/>
    <x v="55"/>
    <s v="Ethan Lee"/>
    <x v="0"/>
    <x v="5"/>
    <n v="23"/>
    <n v="5020"/>
    <n v="115460"/>
  </r>
  <r>
    <n v="58"/>
    <x v="56"/>
    <s v="Ava Jenkins"/>
    <x v="1"/>
    <x v="7"/>
    <n v="10"/>
    <n v="200"/>
    <n v="2000"/>
  </r>
  <r>
    <n v="59"/>
    <x v="57"/>
    <s v="Lukas Müller"/>
    <x v="2"/>
    <x v="6"/>
    <n v="25"/>
    <n v="352"/>
    <n v="8800"/>
  </r>
  <r>
    <n v="60"/>
    <x v="58"/>
    <s v="Yui Nakamura"/>
    <x v="3"/>
    <x v="0"/>
    <n v="63"/>
    <n v="200"/>
    <n v="12600"/>
  </r>
  <r>
    <n v="61"/>
    <x v="59"/>
    <s v="Maria Angelica"/>
    <x v="0"/>
    <x v="1"/>
    <n v="45"/>
    <n v="320"/>
    <n v="14400"/>
  </r>
  <r>
    <n v="62"/>
    <x v="60"/>
    <s v="Mohammad Ali"/>
    <x v="1"/>
    <x v="2"/>
    <n v="56"/>
    <n v="150"/>
    <n v="8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1">
  <location ref="G14:G15" firstHeaderRow="1" firstDataRow="1" firstDataCol="0"/>
  <pivotFields count="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h="1" x="0"/>
        <item h="1" x="1"/>
        <item h="1" x="3"/>
        <item t="default"/>
      </items>
    </pivotField>
    <pivotField showAll="0">
      <items count="9">
        <item x="2"/>
        <item x="5"/>
        <item x="1"/>
        <item x="7"/>
        <item x="4"/>
        <item x="0"/>
        <item x="3"/>
        <item x="6"/>
        <item t="default"/>
      </items>
    </pivotField>
    <pivotField showAll="0"/>
    <pivotField showAll="0"/>
    <pivotField dataField="1" showAll="0"/>
  </pivotFields>
  <rowItems count="1">
    <i/>
  </rowItems>
  <colItems count="1">
    <i/>
  </colItems>
  <dataFields count="1">
    <dataField name="Count of Amount" fld="7" subtotal="count" baseField="0" baseItem="0"/>
  </dataField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1">
  <location ref="G10:G11" firstHeaderRow="1" firstDataRow="1" firstDataCol="0"/>
  <pivotFields count="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h="1" x="0"/>
        <item h="1" x="1"/>
        <item h="1" x="3"/>
        <item t="default"/>
      </items>
    </pivotField>
    <pivotField showAll="0">
      <items count="9">
        <item x="2"/>
        <item x="5"/>
        <item x="1"/>
        <item x="7"/>
        <item x="4"/>
        <item x="0"/>
        <item x="3"/>
        <item x="6"/>
        <item t="default"/>
      </items>
    </pivotField>
    <pivotField showAll="0"/>
    <pivotField showAll="0"/>
    <pivotField dataField="1" showAll="0"/>
  </pivotFields>
  <rowItems count="1">
    <i/>
  </rowItems>
  <colItems count="1">
    <i/>
  </colItems>
  <dataFields count="1">
    <dataField name="Sum of Amount" fld="7" baseField="0" baseItem="0"/>
  </dataField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31">
  <location ref="M3:N11" firstHeaderRow="1" firstDataRow="1" firstDataCol="1"/>
  <pivotFields count="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h="1" x="0"/>
        <item h="1" x="1"/>
        <item h="1" x="3"/>
        <item t="default"/>
      </items>
    </pivotField>
    <pivotField axis="axisRow" showAll="0">
      <items count="9">
        <item x="2"/>
        <item x="5"/>
        <item x="1"/>
        <item x="7"/>
        <item x="4"/>
        <item x="0"/>
        <item x="3"/>
        <item x="6"/>
        <item t="default"/>
      </items>
    </pivotField>
    <pivotField showAll="0"/>
    <pivotField showAll="0"/>
    <pivotField dataField="1" showAll="0"/>
  </pivotFields>
  <rowFields count="1">
    <field x="4"/>
  </rowFields>
  <rowItems count="8">
    <i>
      <x/>
    </i>
    <i>
      <x v="1"/>
    </i>
    <i>
      <x v="2"/>
    </i>
    <i>
      <x v="4"/>
    </i>
    <i>
      <x v="5"/>
    </i>
    <i>
      <x v="6"/>
    </i>
    <i>
      <x v="7"/>
    </i>
    <i t="grand">
      <x/>
    </i>
  </rowItems>
  <colItems count="1">
    <i/>
  </colItems>
  <dataFields count="1">
    <dataField name="Sum of Amount" fld="7" baseField="0" baseItem="0"/>
  </dataFields>
  <chartFormats count="2">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A7" firstHeaderRow="1" firstDataRow="1" firstDataCol="1"/>
  <pivotFields count="8">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s>
  <rowFields count="1">
    <field x="1"/>
  </rowFields>
  <rowItems count="4">
    <i>
      <x v="9"/>
    </i>
    <i>
      <x v="10"/>
    </i>
    <i>
      <x v="11"/>
    </i>
    <i t="grand">
      <x/>
    </i>
  </rowItems>
  <colItems count="1">
    <i/>
  </colItem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22">
  <location ref="J3:K7" firstHeaderRow="1" firstDataRow="1" firstDataCol="1"/>
  <pivotFields count="8">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2"/>
        <item h="1" x="0"/>
        <item h="1" x="1"/>
        <item h="1" x="3"/>
        <item t="default"/>
      </items>
    </pivotField>
    <pivotField showAll="0">
      <items count="9">
        <item x="2"/>
        <item x="5"/>
        <item x="1"/>
        <item x="7"/>
        <item x="4"/>
        <item x="0"/>
        <item x="3"/>
        <item x="6"/>
        <item t="default"/>
      </items>
    </pivotField>
    <pivotField showAll="0"/>
    <pivotField showAll="0"/>
    <pivotField dataField="1" showAll="0"/>
  </pivotFields>
  <rowFields count="1">
    <field x="1"/>
  </rowFields>
  <rowItems count="4">
    <i>
      <x v="9"/>
    </i>
    <i>
      <x v="10"/>
    </i>
    <i>
      <x v="11"/>
    </i>
    <i t="grand">
      <x/>
    </i>
  </rowItems>
  <colItems count="1">
    <i/>
  </colItems>
  <dataFields count="1">
    <dataField name="Sum of Amount" fld="7" baseField="0" baseItem="0"/>
  </dataFields>
  <chartFormats count="2">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8">
  <location ref="G3:H5" firstHeaderRow="1" firstDataRow="1" firstDataCol="1"/>
  <pivotFields count="8">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h="1" x="0"/>
        <item h="1" x="1"/>
        <item h="1" x="3"/>
        <item t="default"/>
      </items>
    </pivotField>
    <pivotField showAll="0">
      <items count="9">
        <item x="2"/>
        <item x="5"/>
        <item x="1"/>
        <item x="7"/>
        <item x="4"/>
        <item x="0"/>
        <item x="3"/>
        <item x="6"/>
        <item t="default"/>
      </items>
    </pivotField>
    <pivotField showAll="0"/>
    <pivotField showAll="0"/>
    <pivotField dataField="1" showAll="0"/>
  </pivotFields>
  <rowFields count="1">
    <field x="3"/>
  </rowFields>
  <rowItems count="2">
    <i>
      <x/>
    </i>
    <i t="grand">
      <x/>
    </i>
  </rowItems>
  <colItems count="1">
    <i/>
  </colItems>
  <dataFields count="1">
    <dataField name="Sum of Amount" fld="7"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E3:E11" firstHeaderRow="1" firstDataRow="1" firstDataCol="1"/>
  <pivotFields count="8">
    <pivotField showAll="0"/>
    <pivotField numFmtId="14" showAll="0">
      <items count="15">
        <item x="0"/>
        <item x="1"/>
        <item x="2"/>
        <item x="3"/>
        <item x="4"/>
        <item x="5"/>
        <item x="6"/>
        <item x="7"/>
        <item x="8"/>
        <item x="9"/>
        <item x="10"/>
        <item x="11"/>
        <item x="12"/>
        <item x="13"/>
        <item t="default"/>
      </items>
    </pivotField>
    <pivotField showAll="0"/>
    <pivotField showAll="0">
      <items count="5">
        <item x="2"/>
        <item h="1" x="0"/>
        <item h="1" x="1"/>
        <item h="1" x="3"/>
        <item t="default"/>
      </items>
    </pivotField>
    <pivotField axis="axisRow" showAll="0">
      <items count="9">
        <item x="2"/>
        <item x="5"/>
        <item x="1"/>
        <item x="7"/>
        <item x="4"/>
        <item x="0"/>
        <item x="3"/>
        <item x="6"/>
        <item t="default"/>
      </items>
    </pivotField>
    <pivotField showAll="0"/>
    <pivotField showAll="0"/>
    <pivotField showAll="0"/>
  </pivotFields>
  <rowFields count="1">
    <field x="4"/>
  </rowFields>
  <rowItems count="8">
    <i>
      <x/>
    </i>
    <i>
      <x v="1"/>
    </i>
    <i>
      <x v="2"/>
    </i>
    <i>
      <x v="4"/>
    </i>
    <i>
      <x v="5"/>
    </i>
    <i>
      <x v="6"/>
    </i>
    <i>
      <x v="7"/>
    </i>
    <i t="grand">
      <x/>
    </i>
  </rowItems>
  <colItems count="1">
    <i/>
  </colItem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C3:C5" firstHeaderRow="1" firstDataRow="1" firstDataCol="1"/>
  <pivotFields count="8">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h="1" x="0"/>
        <item h="1" x="1"/>
        <item h="1" x="3"/>
        <item t="default"/>
      </items>
    </pivotField>
    <pivotField showAll="0"/>
    <pivotField showAll="0"/>
    <pivotField showAll="0"/>
    <pivotField showAll="0"/>
  </pivotFields>
  <rowFields count="1">
    <field x="3"/>
  </rowFields>
  <rowItems count="2">
    <i>
      <x/>
    </i>
    <i t="grand">
      <x/>
    </i>
  </rowItems>
  <colItems count="1">
    <i/>
  </colItems>
  <pivotTableStyleInfo name="PivotStyleMedium4" showRowHeaders="1" showColHeaders="1" showRowStripes="0" showColStripes="0" showLastColumn="1"/>
  <filters count="1">
    <filter fld="1" type="dateBetween" evalOrder="-1" id="3" name="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2"/>
    <pivotTable tabId="6" name="PivotTable3"/>
    <pivotTable tabId="6" name="PivotTable4"/>
    <pivotTable tabId="6" name="PivotTable5"/>
    <pivotTable tabId="6" name="PivotTable6"/>
    <pivotTable tabId="6" name="PivotTable7"/>
    <pivotTable tabId="6" name="PivotTable8"/>
  </pivotTables>
  <data>
    <tabular pivotCacheId="1">
      <items count="4">
        <i x="2" s="1"/>
        <i x="0"/>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6" name="PivotTable3"/>
    <pivotTable tabId="6" name="PivotTable4"/>
    <pivotTable tabId="6" name="PivotTable5"/>
    <pivotTable tabId="6" name="PivotTable6"/>
    <pivotTable tabId="6" name="PivotTable7"/>
    <pivotTable tabId="6" name="PivotTable8"/>
  </pivotTables>
  <data>
    <tabular pivotCacheId="1">
      <items count="8">
        <i x="2" s="1"/>
        <i x="5" s="1"/>
        <i x="1" s="1"/>
        <i x="4" s="1"/>
        <i x="0" s="1"/>
        <i x="3" s="1"/>
        <i x="6"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2" style="SlicerStyleDark3" rowHeight="241300"/>
  <slicer name="Item 1" cache="Slicer_Item" caption="Item" columnCount="8" style="SlicerStyleDark3"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style="SlicerStyleDark3" rowHeight="241300"/>
  <slicer name="Item" cache="Slicer_Item" caption="Item" columnCount="8"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s>
  <state minimalRefreshVersion="6" lastRefreshVersion="6" pivotCacheId="1"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showSelectionLabel="0" showTimeLevel="0" showHorizontalScrollbar="0" level="2" selectionLevel="0" scrollPosition="2025-01-01T00:00:00" style="TimeSlicerStyleDark3"/>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showSelectionLabel="0" showTimeLevel="0" showHorizontalScrollbar="0" level="2" selectionLevel="0"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7" zoomScale="90" zoomScaleNormal="90" workbookViewId="0">
      <selection activeCell="U1" sqref="U1"/>
    </sheetView>
  </sheetViews>
  <sheetFormatPr defaultRowHeight="1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20"/>
  <sheetViews>
    <sheetView zoomScaleNormal="100" workbookViewId="0">
      <selection activeCell="L13" sqref="L13"/>
    </sheetView>
  </sheetViews>
  <sheetFormatPr defaultRowHeight="15"/>
  <cols>
    <col min="1" max="1" width="13.140625" bestFit="1" customWidth="1"/>
    <col min="3" max="3" width="13.140625" bestFit="1" customWidth="1"/>
    <col min="5" max="5" width="13.140625" bestFit="1" customWidth="1"/>
    <col min="7" max="7" width="16.28515625" customWidth="1"/>
    <col min="8" max="8" width="14.85546875" bestFit="1" customWidth="1"/>
    <col min="10" max="10" width="13.140625" bestFit="1" customWidth="1"/>
    <col min="11" max="11" width="14.85546875" bestFit="1" customWidth="1"/>
    <col min="13" max="13" width="13.140625" customWidth="1"/>
    <col min="14" max="14" width="14.85546875" bestFit="1" customWidth="1"/>
  </cols>
  <sheetData>
    <row r="3" spans="1:14">
      <c r="A3" s="8" t="s">
        <v>29</v>
      </c>
      <c r="C3" s="8" t="s">
        <v>29</v>
      </c>
      <c r="E3" s="8" t="s">
        <v>29</v>
      </c>
      <c r="G3" s="8" t="s">
        <v>29</v>
      </c>
      <c r="H3" t="s">
        <v>31</v>
      </c>
      <c r="J3" s="8" t="s">
        <v>29</v>
      </c>
      <c r="K3" t="s">
        <v>31</v>
      </c>
      <c r="M3" s="8" t="s">
        <v>29</v>
      </c>
      <c r="N3" t="s">
        <v>31</v>
      </c>
    </row>
    <row r="4" spans="1:14">
      <c r="A4" s="10" t="s">
        <v>32</v>
      </c>
      <c r="C4" s="9" t="s">
        <v>15</v>
      </c>
      <c r="E4" s="9" t="s">
        <v>16</v>
      </c>
      <c r="G4" s="9" t="s">
        <v>15</v>
      </c>
      <c r="H4" s="11">
        <v>190660</v>
      </c>
      <c r="J4" s="10" t="s">
        <v>32</v>
      </c>
      <c r="K4" s="11">
        <v>56640</v>
      </c>
      <c r="M4" s="9" t="s">
        <v>16</v>
      </c>
      <c r="N4" s="11">
        <v>10140</v>
      </c>
    </row>
    <row r="5" spans="1:14">
      <c r="A5" s="10" t="s">
        <v>33</v>
      </c>
      <c r="C5" s="9" t="s">
        <v>30</v>
      </c>
      <c r="E5" s="9" t="s">
        <v>23</v>
      </c>
      <c r="G5" s="9" t="s">
        <v>30</v>
      </c>
      <c r="H5" s="11">
        <v>190660</v>
      </c>
      <c r="J5" s="10" t="s">
        <v>33</v>
      </c>
      <c r="K5" s="11">
        <v>89600</v>
      </c>
      <c r="M5" s="9" t="s">
        <v>23</v>
      </c>
      <c r="N5" s="11">
        <v>2100</v>
      </c>
    </row>
    <row r="6" spans="1:14">
      <c r="A6" s="10" t="s">
        <v>34</v>
      </c>
      <c r="E6" s="9" t="s">
        <v>13</v>
      </c>
      <c r="J6" s="10" t="s">
        <v>34</v>
      </c>
      <c r="K6" s="11">
        <v>44420</v>
      </c>
      <c r="M6" s="9" t="s">
        <v>13</v>
      </c>
      <c r="N6" s="11">
        <v>2100</v>
      </c>
    </row>
    <row r="7" spans="1:14">
      <c r="A7" s="10" t="s">
        <v>30</v>
      </c>
      <c r="E7" s="9" t="s">
        <v>21</v>
      </c>
      <c r="J7" s="10" t="s">
        <v>30</v>
      </c>
      <c r="K7" s="11">
        <v>190660</v>
      </c>
      <c r="M7" s="9" t="s">
        <v>21</v>
      </c>
      <c r="N7" s="11">
        <v>90700</v>
      </c>
    </row>
    <row r="8" spans="1:14">
      <c r="E8" s="9" t="s">
        <v>10</v>
      </c>
      <c r="M8" s="9" t="s">
        <v>10</v>
      </c>
      <c r="N8" s="11">
        <v>17920</v>
      </c>
    </row>
    <row r="9" spans="1:14">
      <c r="E9" s="9" t="s">
        <v>19</v>
      </c>
      <c r="M9" s="9" t="s">
        <v>19</v>
      </c>
      <c r="N9" s="11">
        <v>15600</v>
      </c>
    </row>
    <row r="10" spans="1:14">
      <c r="E10" s="9" t="s">
        <v>26</v>
      </c>
      <c r="G10" t="s">
        <v>31</v>
      </c>
      <c r="M10" s="9" t="s">
        <v>26</v>
      </c>
      <c r="N10" s="11">
        <v>52100</v>
      </c>
    </row>
    <row r="11" spans="1:14">
      <c r="E11" s="9" t="s">
        <v>30</v>
      </c>
      <c r="G11" s="11">
        <v>190660</v>
      </c>
      <c r="H11" s="12">
        <f>GETPIVOTDATA("Amount",$G$10)</f>
        <v>190660</v>
      </c>
      <c r="M11" s="9" t="s">
        <v>30</v>
      </c>
      <c r="N11" s="11">
        <v>190660</v>
      </c>
    </row>
    <row r="12" spans="1:14">
      <c r="H12" s="12"/>
    </row>
    <row r="13" spans="1:14">
      <c r="J13" s="9"/>
    </row>
    <row r="14" spans="1:14">
      <c r="G14" t="s">
        <v>35</v>
      </c>
      <c r="J14" s="9"/>
    </row>
    <row r="15" spans="1:14">
      <c r="G15" s="11">
        <v>16</v>
      </c>
      <c r="H15" s="12">
        <f>GETPIVOTDATA("Amount",$G$14)</f>
        <v>16</v>
      </c>
      <c r="J15" s="9"/>
    </row>
    <row r="16" spans="1:14">
      <c r="J16" s="9"/>
    </row>
    <row r="17" spans="10:10">
      <c r="J17" s="9"/>
    </row>
    <row r="18" spans="10:10">
      <c r="J18" s="9"/>
    </row>
    <row r="19" spans="10:10">
      <c r="J19" s="9"/>
    </row>
    <row r="20" spans="10:10">
      <c r="J20" s="9"/>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tabSelected="1" topLeftCell="A29" workbookViewId="0">
      <selection activeCell="J36" sqref="J36"/>
    </sheetView>
  </sheetViews>
  <sheetFormatPr defaultRowHeight="15"/>
  <cols>
    <col min="2" max="2" width="18" style="3" customWidth="1"/>
    <col min="3" max="3" width="20.85546875" customWidth="1"/>
    <col min="4" max="4" width="11.42578125" customWidth="1"/>
    <col min="5" max="5" width="13.28515625" customWidth="1"/>
    <col min="6" max="6" width="11.85546875" customWidth="1"/>
    <col min="8" max="8" width="11.5703125" customWidth="1"/>
  </cols>
  <sheetData>
    <row r="1" spans="1:8">
      <c r="A1" s="1" t="s">
        <v>0</v>
      </c>
      <c r="B1" s="2" t="s">
        <v>1</v>
      </c>
      <c r="C1" s="1" t="s">
        <v>2</v>
      </c>
      <c r="D1" s="1" t="s">
        <v>3</v>
      </c>
      <c r="E1" s="1" t="s">
        <v>4</v>
      </c>
      <c r="F1" s="1" t="s">
        <v>5</v>
      </c>
      <c r="G1" s="1" t="s">
        <v>6</v>
      </c>
      <c r="H1" s="1" t="s">
        <v>7</v>
      </c>
    </row>
    <row r="2" spans="1:8">
      <c r="A2" s="4">
        <v>1</v>
      </c>
      <c r="B2" s="5">
        <v>45916</v>
      </c>
      <c r="C2" s="4" t="s">
        <v>8</v>
      </c>
      <c r="D2" s="4" t="s">
        <v>9</v>
      </c>
      <c r="E2" s="4" t="s">
        <v>10</v>
      </c>
      <c r="F2" s="4">
        <v>21</v>
      </c>
      <c r="G2" s="4">
        <v>50</v>
      </c>
      <c r="H2" s="4">
        <v>1050</v>
      </c>
    </row>
    <row r="3" spans="1:8">
      <c r="A3" s="4">
        <v>2</v>
      </c>
      <c r="B3" s="5">
        <v>45917</v>
      </c>
      <c r="C3" s="4" t="s">
        <v>11</v>
      </c>
      <c r="D3" s="4" t="s">
        <v>12</v>
      </c>
      <c r="E3" s="4" t="s">
        <v>13</v>
      </c>
      <c r="F3" s="4">
        <v>36</v>
      </c>
      <c r="G3" s="4">
        <v>500</v>
      </c>
      <c r="H3" s="4">
        <v>18000</v>
      </c>
    </row>
    <row r="4" spans="1:8">
      <c r="A4" s="4">
        <v>3</v>
      </c>
      <c r="B4" s="5">
        <v>45918</v>
      </c>
      <c r="C4" s="4" t="s">
        <v>14</v>
      </c>
      <c r="D4" s="4" t="s">
        <v>15</v>
      </c>
      <c r="E4" s="4" t="s">
        <v>16</v>
      </c>
      <c r="F4" s="4">
        <v>32</v>
      </c>
      <c r="G4" s="4">
        <v>120</v>
      </c>
      <c r="H4" s="4">
        <v>3840</v>
      </c>
    </row>
    <row r="5" spans="1:8">
      <c r="A5" s="4">
        <v>4</v>
      </c>
      <c r="B5" s="5">
        <v>45919</v>
      </c>
      <c r="C5" s="4" t="s">
        <v>17</v>
      </c>
      <c r="D5" s="4" t="s">
        <v>18</v>
      </c>
      <c r="E5" s="4" t="s">
        <v>19</v>
      </c>
      <c r="F5" s="4">
        <v>21</v>
      </c>
      <c r="G5" s="4">
        <v>50</v>
      </c>
      <c r="H5" s="4">
        <v>1050</v>
      </c>
    </row>
    <row r="6" spans="1:8">
      <c r="A6" s="4">
        <v>5</v>
      </c>
      <c r="B6" s="5">
        <v>45920</v>
      </c>
      <c r="C6" s="4" t="s">
        <v>20</v>
      </c>
      <c r="D6" s="4" t="s">
        <v>9</v>
      </c>
      <c r="E6" s="4" t="s">
        <v>21</v>
      </c>
      <c r="F6" s="4">
        <v>23</v>
      </c>
      <c r="G6" s="4">
        <v>8000</v>
      </c>
      <c r="H6" s="4">
        <v>184000</v>
      </c>
    </row>
    <row r="7" spans="1:8">
      <c r="A7" s="4">
        <v>6</v>
      </c>
      <c r="B7" s="5">
        <v>45921</v>
      </c>
      <c r="C7" s="4" t="s">
        <v>22</v>
      </c>
      <c r="D7" s="4" t="s">
        <v>12</v>
      </c>
      <c r="E7" s="4" t="s">
        <v>23</v>
      </c>
      <c r="F7" s="4">
        <v>10</v>
      </c>
      <c r="G7" s="4">
        <v>600</v>
      </c>
      <c r="H7" s="4">
        <v>6000</v>
      </c>
    </row>
    <row r="8" spans="1:8">
      <c r="A8" s="4">
        <v>7</v>
      </c>
      <c r="B8" s="5">
        <v>45922</v>
      </c>
      <c r="C8" s="4" t="s">
        <v>24</v>
      </c>
      <c r="D8" s="4" t="s">
        <v>18</v>
      </c>
      <c r="E8" s="4" t="s">
        <v>21</v>
      </c>
      <c r="F8" s="4">
        <v>25</v>
      </c>
      <c r="G8" s="4">
        <v>152</v>
      </c>
      <c r="H8" s="4">
        <v>3800</v>
      </c>
    </row>
    <row r="9" spans="1:8">
      <c r="A9" s="4">
        <v>8</v>
      </c>
      <c r="B9" s="5">
        <v>45923</v>
      </c>
      <c r="C9" s="4" t="s">
        <v>25</v>
      </c>
      <c r="D9" s="4" t="s">
        <v>15</v>
      </c>
      <c r="E9" s="4" t="s">
        <v>26</v>
      </c>
      <c r="F9" s="4">
        <v>63</v>
      </c>
      <c r="G9" s="4">
        <v>500</v>
      </c>
      <c r="H9" s="4">
        <v>31500</v>
      </c>
    </row>
    <row r="10" spans="1:8">
      <c r="A10" s="4">
        <v>9</v>
      </c>
      <c r="B10" s="5">
        <v>45924</v>
      </c>
      <c r="C10" s="4" t="s">
        <v>27</v>
      </c>
      <c r="D10" s="4" t="s">
        <v>9</v>
      </c>
      <c r="E10" s="4" t="s">
        <v>10</v>
      </c>
      <c r="F10" s="4">
        <v>45</v>
      </c>
      <c r="G10" s="4">
        <v>500</v>
      </c>
      <c r="H10" s="4">
        <v>22500</v>
      </c>
    </row>
    <row r="11" spans="1:8">
      <c r="A11" s="4">
        <v>10</v>
      </c>
      <c r="B11" s="5">
        <v>45925</v>
      </c>
      <c r="C11" s="4" t="s">
        <v>28</v>
      </c>
      <c r="D11" s="4" t="s">
        <v>9</v>
      </c>
      <c r="E11" s="4" t="s">
        <v>13</v>
      </c>
      <c r="F11" s="4">
        <v>56</v>
      </c>
      <c r="G11" s="4">
        <v>6000</v>
      </c>
      <c r="H11" s="4">
        <v>336000</v>
      </c>
    </row>
    <row r="12" spans="1:8">
      <c r="A12" s="4">
        <v>11</v>
      </c>
      <c r="B12" s="5">
        <v>45926</v>
      </c>
      <c r="C12" s="4" t="s">
        <v>17</v>
      </c>
      <c r="D12" s="4" t="s">
        <v>12</v>
      </c>
      <c r="E12" s="4" t="s">
        <v>16</v>
      </c>
      <c r="F12" s="4">
        <v>21</v>
      </c>
      <c r="G12" s="4">
        <v>120</v>
      </c>
      <c r="H12" s="4">
        <v>2520</v>
      </c>
    </row>
    <row r="13" spans="1:8">
      <c r="A13" s="4">
        <v>12</v>
      </c>
      <c r="B13" s="5">
        <v>45927</v>
      </c>
      <c r="C13" s="4" t="s">
        <v>20</v>
      </c>
      <c r="D13" s="4" t="s">
        <v>12</v>
      </c>
      <c r="E13" s="4" t="s">
        <v>19</v>
      </c>
      <c r="F13" s="4">
        <v>36</v>
      </c>
      <c r="G13" s="4">
        <v>230</v>
      </c>
      <c r="H13" s="4">
        <v>8280</v>
      </c>
    </row>
    <row r="14" spans="1:8">
      <c r="A14" s="4">
        <v>13</v>
      </c>
      <c r="B14" s="5">
        <v>45928</v>
      </c>
      <c r="C14" s="4" t="s">
        <v>22</v>
      </c>
      <c r="D14" s="4" t="s">
        <v>15</v>
      </c>
      <c r="E14" s="4" t="s">
        <v>21</v>
      </c>
      <c r="F14" s="4">
        <v>32</v>
      </c>
      <c r="G14" s="4">
        <v>600</v>
      </c>
      <c r="H14" s="4">
        <v>19200</v>
      </c>
    </row>
    <row r="15" spans="1:8">
      <c r="A15" s="4">
        <v>14</v>
      </c>
      <c r="B15" s="5">
        <v>45929</v>
      </c>
      <c r="C15" s="4" t="s">
        <v>24</v>
      </c>
      <c r="D15" s="4" t="s">
        <v>15</v>
      </c>
      <c r="E15" s="4" t="s">
        <v>23</v>
      </c>
      <c r="F15" s="4">
        <v>21</v>
      </c>
      <c r="G15" s="4">
        <v>100</v>
      </c>
      <c r="H15" s="4">
        <v>2100</v>
      </c>
    </row>
    <row r="16" spans="1:8">
      <c r="A16" s="4">
        <v>15</v>
      </c>
      <c r="B16" s="5">
        <v>45930</v>
      </c>
      <c r="C16" s="4" t="s">
        <v>25</v>
      </c>
      <c r="D16" s="4" t="s">
        <v>18</v>
      </c>
      <c r="E16" s="4" t="s">
        <v>21</v>
      </c>
      <c r="F16" s="4">
        <v>23</v>
      </c>
      <c r="G16" s="4">
        <v>200</v>
      </c>
      <c r="H16" s="4">
        <v>4600</v>
      </c>
    </row>
    <row r="17" spans="1:8">
      <c r="A17" s="4">
        <v>16</v>
      </c>
      <c r="B17" s="5">
        <v>45931</v>
      </c>
      <c r="C17" s="4" t="s">
        <v>27</v>
      </c>
      <c r="D17" s="4" t="s">
        <v>15</v>
      </c>
      <c r="E17" s="4" t="s">
        <v>26</v>
      </c>
      <c r="F17" s="4">
        <v>10</v>
      </c>
      <c r="G17" s="4">
        <v>300</v>
      </c>
      <c r="H17" s="4">
        <v>3000</v>
      </c>
    </row>
    <row r="18" spans="1:8">
      <c r="A18" s="4">
        <v>17</v>
      </c>
      <c r="B18" s="5">
        <v>45932</v>
      </c>
      <c r="C18" s="4" t="s">
        <v>28</v>
      </c>
      <c r="D18" s="4" t="s">
        <v>18</v>
      </c>
      <c r="E18" s="4" t="s">
        <v>19</v>
      </c>
      <c r="F18" s="4">
        <v>25</v>
      </c>
      <c r="G18" s="4">
        <v>200</v>
      </c>
      <c r="H18" s="4">
        <v>5000</v>
      </c>
    </row>
    <row r="19" spans="1:8">
      <c r="A19" s="4">
        <v>18</v>
      </c>
      <c r="B19" s="5">
        <v>45933</v>
      </c>
      <c r="C19" s="4" t="s">
        <v>17</v>
      </c>
      <c r="D19" s="4" t="s">
        <v>9</v>
      </c>
      <c r="E19" s="4" t="s">
        <v>21</v>
      </c>
      <c r="F19" s="4">
        <v>63</v>
      </c>
      <c r="G19" s="4">
        <v>300</v>
      </c>
      <c r="H19" s="4">
        <v>18900</v>
      </c>
    </row>
    <row r="20" spans="1:8">
      <c r="A20" s="4">
        <v>19</v>
      </c>
      <c r="B20" s="5">
        <v>45934</v>
      </c>
      <c r="C20" s="4" t="s">
        <v>20</v>
      </c>
      <c r="D20" s="4" t="s">
        <v>12</v>
      </c>
      <c r="E20" s="4" t="s">
        <v>23</v>
      </c>
      <c r="F20" s="4">
        <v>45</v>
      </c>
      <c r="G20" s="4">
        <v>140</v>
      </c>
      <c r="H20" s="4">
        <v>6300</v>
      </c>
    </row>
    <row r="21" spans="1:8">
      <c r="A21" s="4">
        <v>20</v>
      </c>
      <c r="B21" s="5">
        <v>45935</v>
      </c>
      <c r="C21" s="4" t="s">
        <v>22</v>
      </c>
      <c r="D21" s="4" t="s">
        <v>15</v>
      </c>
      <c r="E21" s="4" t="s">
        <v>21</v>
      </c>
      <c r="F21" s="4">
        <v>56</v>
      </c>
      <c r="G21" s="4">
        <v>500</v>
      </c>
      <c r="H21" s="4">
        <v>28000</v>
      </c>
    </row>
    <row r="22" spans="1:8">
      <c r="A22" s="4">
        <v>21</v>
      </c>
      <c r="B22" s="6">
        <v>45936</v>
      </c>
      <c r="C22" s="4" t="s">
        <v>24</v>
      </c>
      <c r="D22" s="4" t="s">
        <v>18</v>
      </c>
      <c r="E22" s="4" t="s">
        <v>26</v>
      </c>
      <c r="F22" s="4">
        <v>21</v>
      </c>
      <c r="G22" s="4">
        <v>300</v>
      </c>
      <c r="H22" s="4">
        <v>6300</v>
      </c>
    </row>
    <row r="23" spans="1:8">
      <c r="A23" s="4">
        <v>22</v>
      </c>
      <c r="B23" s="5">
        <v>45937</v>
      </c>
      <c r="C23" s="4" t="s">
        <v>25</v>
      </c>
      <c r="D23" s="4" t="s">
        <v>9</v>
      </c>
      <c r="E23" s="4" t="s">
        <v>10</v>
      </c>
      <c r="F23" s="4">
        <v>36</v>
      </c>
      <c r="G23" s="4">
        <v>630</v>
      </c>
      <c r="H23" s="4">
        <v>22680</v>
      </c>
    </row>
    <row r="24" spans="1:8">
      <c r="A24" s="4">
        <v>23</v>
      </c>
      <c r="B24" s="5">
        <v>45938</v>
      </c>
      <c r="C24" s="4" t="s">
        <v>27</v>
      </c>
      <c r="D24" s="4" t="s">
        <v>12</v>
      </c>
      <c r="E24" s="4" t="s">
        <v>13</v>
      </c>
      <c r="F24" s="4">
        <v>32</v>
      </c>
      <c r="G24" s="4">
        <v>220</v>
      </c>
      <c r="H24" s="4">
        <v>7040</v>
      </c>
    </row>
    <row r="25" spans="1:8">
      <c r="A25" s="4">
        <v>24</v>
      </c>
      <c r="B25" s="5">
        <v>45939</v>
      </c>
      <c r="C25" s="4" t="s">
        <v>28</v>
      </c>
      <c r="D25" s="4" t="s">
        <v>15</v>
      </c>
      <c r="E25" s="4" t="s">
        <v>16</v>
      </c>
      <c r="F25" s="4">
        <v>21</v>
      </c>
      <c r="G25" s="4">
        <v>300</v>
      </c>
      <c r="H25" s="4">
        <v>6300</v>
      </c>
    </row>
    <row r="26" spans="1:8">
      <c r="A26" s="4">
        <v>25</v>
      </c>
      <c r="B26" s="5">
        <v>45940</v>
      </c>
      <c r="C26" s="4" t="s">
        <v>17</v>
      </c>
      <c r="D26" s="4" t="s">
        <v>18</v>
      </c>
      <c r="E26" s="4" t="s">
        <v>19</v>
      </c>
      <c r="F26" s="4">
        <v>23</v>
      </c>
      <c r="G26" s="4">
        <v>400</v>
      </c>
      <c r="H26" s="4">
        <v>9200</v>
      </c>
    </row>
    <row r="27" spans="1:8">
      <c r="A27" s="4">
        <v>27</v>
      </c>
      <c r="B27" s="5">
        <v>45941</v>
      </c>
      <c r="C27" s="7" t="s">
        <v>20</v>
      </c>
      <c r="D27" s="7" t="s">
        <v>9</v>
      </c>
      <c r="E27" s="7" t="s">
        <v>10</v>
      </c>
      <c r="F27" s="4">
        <v>21</v>
      </c>
      <c r="G27" s="7">
        <v>220</v>
      </c>
      <c r="H27" s="7">
        <v>4600</v>
      </c>
    </row>
    <row r="28" spans="1:8">
      <c r="A28" s="4">
        <v>28</v>
      </c>
      <c r="B28" s="5">
        <v>45942</v>
      </c>
      <c r="C28" s="7" t="s">
        <v>22</v>
      </c>
      <c r="D28" s="7" t="s">
        <v>12</v>
      </c>
      <c r="E28" s="7" t="s">
        <v>23</v>
      </c>
      <c r="F28" s="4">
        <v>36</v>
      </c>
      <c r="G28" s="7">
        <v>352</v>
      </c>
      <c r="H28" s="4">
        <v>8800</v>
      </c>
    </row>
    <row r="29" spans="1:8">
      <c r="A29" s="4">
        <v>29</v>
      </c>
      <c r="B29" s="5">
        <v>45943</v>
      </c>
      <c r="C29" s="4" t="s">
        <v>24</v>
      </c>
      <c r="D29" s="7" t="s">
        <v>15</v>
      </c>
      <c r="E29" s="7" t="s">
        <v>21</v>
      </c>
      <c r="F29" s="4">
        <v>32</v>
      </c>
      <c r="G29" s="7">
        <v>300</v>
      </c>
      <c r="H29" s="4">
        <v>6300</v>
      </c>
    </row>
    <row r="30" spans="1:8">
      <c r="A30" s="4">
        <v>30</v>
      </c>
      <c r="B30" s="5">
        <v>45944</v>
      </c>
      <c r="C30" s="4" t="s">
        <v>25</v>
      </c>
      <c r="D30" s="7" t="s">
        <v>18</v>
      </c>
      <c r="E30" s="7" t="s">
        <v>26</v>
      </c>
      <c r="F30" s="4">
        <v>21</v>
      </c>
      <c r="G30" s="7">
        <v>400</v>
      </c>
      <c r="H30" s="7">
        <v>9200</v>
      </c>
    </row>
    <row r="31" spans="1:8">
      <c r="A31" s="4">
        <v>31</v>
      </c>
      <c r="B31" s="5">
        <v>45945</v>
      </c>
      <c r="C31" s="4" t="s">
        <v>27</v>
      </c>
      <c r="D31" s="7" t="s">
        <v>9</v>
      </c>
      <c r="E31" s="7" t="s">
        <v>10</v>
      </c>
      <c r="F31" s="4">
        <v>23</v>
      </c>
      <c r="G31" s="7">
        <v>150</v>
      </c>
      <c r="H31" s="4">
        <v>8400</v>
      </c>
    </row>
    <row r="32" spans="1:8">
      <c r="A32" s="4">
        <v>32</v>
      </c>
      <c r="B32" s="5">
        <v>45946</v>
      </c>
      <c r="C32" s="4" t="s">
        <v>28</v>
      </c>
      <c r="D32" s="7" t="s">
        <v>12</v>
      </c>
      <c r="E32" s="7" t="s">
        <v>23</v>
      </c>
      <c r="F32" s="4">
        <v>10</v>
      </c>
      <c r="G32" s="7">
        <v>630</v>
      </c>
      <c r="H32" s="4">
        <v>22680</v>
      </c>
    </row>
    <row r="33" spans="1:8">
      <c r="A33" s="4">
        <v>33</v>
      </c>
      <c r="B33" s="5">
        <v>45947</v>
      </c>
      <c r="C33" s="4" t="s">
        <v>17</v>
      </c>
      <c r="D33" s="7" t="s">
        <v>15</v>
      </c>
      <c r="E33" s="7" t="s">
        <v>21</v>
      </c>
      <c r="F33" s="4">
        <v>25</v>
      </c>
      <c r="G33" s="7">
        <v>400</v>
      </c>
      <c r="H33" s="7">
        <v>9200</v>
      </c>
    </row>
    <row r="34" spans="1:8">
      <c r="A34" s="4">
        <v>34</v>
      </c>
      <c r="B34" s="5">
        <v>45948</v>
      </c>
      <c r="C34" s="7" t="s">
        <v>20</v>
      </c>
      <c r="D34" s="7" t="s">
        <v>18</v>
      </c>
      <c r="E34" s="7" t="s">
        <v>26</v>
      </c>
      <c r="F34" s="4">
        <v>63</v>
      </c>
      <c r="G34" s="7">
        <v>500</v>
      </c>
      <c r="H34" s="7">
        <v>2800</v>
      </c>
    </row>
    <row r="35" spans="1:8">
      <c r="A35" s="4">
        <v>35</v>
      </c>
      <c r="B35" s="5">
        <v>45949</v>
      </c>
      <c r="C35" s="7" t="s">
        <v>22</v>
      </c>
      <c r="D35" s="7" t="s">
        <v>9</v>
      </c>
      <c r="E35" s="7" t="s">
        <v>10</v>
      </c>
      <c r="F35" s="7">
        <v>45</v>
      </c>
      <c r="G35" s="7">
        <v>150</v>
      </c>
      <c r="H35" s="4">
        <v>8400</v>
      </c>
    </row>
    <row r="36" spans="1:8">
      <c r="A36" s="4">
        <v>36</v>
      </c>
      <c r="B36" s="5">
        <v>45950</v>
      </c>
      <c r="C36" s="4" t="s">
        <v>24</v>
      </c>
      <c r="D36" s="7" t="s">
        <v>12</v>
      </c>
      <c r="E36" s="7" t="s">
        <v>23</v>
      </c>
      <c r="F36" s="7">
        <v>56</v>
      </c>
      <c r="G36" s="7">
        <v>630</v>
      </c>
      <c r="H36" s="4">
        <v>22680</v>
      </c>
    </row>
    <row r="37" spans="1:8">
      <c r="A37" s="4">
        <v>37</v>
      </c>
      <c r="B37" s="5">
        <v>45952</v>
      </c>
      <c r="C37" s="4" t="s">
        <v>27</v>
      </c>
      <c r="D37" s="4" t="s">
        <v>15</v>
      </c>
      <c r="E37" s="4" t="s">
        <v>26</v>
      </c>
      <c r="F37" s="4">
        <v>25</v>
      </c>
      <c r="G37" s="4">
        <v>352</v>
      </c>
      <c r="H37" s="4">
        <v>8800</v>
      </c>
    </row>
    <row r="38" spans="1:8">
      <c r="A38" s="4">
        <v>38</v>
      </c>
      <c r="B38" s="5">
        <v>45953</v>
      </c>
      <c r="C38" s="4" t="s">
        <v>28</v>
      </c>
      <c r="D38" s="4" t="s">
        <v>18</v>
      </c>
      <c r="E38" s="4" t="s">
        <v>10</v>
      </c>
      <c r="F38" s="4">
        <v>63</v>
      </c>
      <c r="G38" s="4">
        <v>200</v>
      </c>
      <c r="H38" s="4">
        <v>12600</v>
      </c>
    </row>
    <row r="39" spans="1:8">
      <c r="A39" s="4">
        <v>39</v>
      </c>
      <c r="B39" s="5">
        <v>45954</v>
      </c>
      <c r="C39" s="4" t="s">
        <v>17</v>
      </c>
      <c r="D39" s="4" t="s">
        <v>9</v>
      </c>
      <c r="E39" s="4" t="s">
        <v>13</v>
      </c>
      <c r="F39" s="4">
        <v>45</v>
      </c>
      <c r="G39" s="4">
        <v>320</v>
      </c>
      <c r="H39" s="4">
        <v>14400</v>
      </c>
    </row>
    <row r="40" spans="1:8">
      <c r="A40" s="4">
        <v>40</v>
      </c>
      <c r="B40" s="5">
        <v>45955</v>
      </c>
      <c r="C40" s="4" t="s">
        <v>20</v>
      </c>
      <c r="D40" s="4" t="s">
        <v>12</v>
      </c>
      <c r="E40" s="4" t="s">
        <v>16</v>
      </c>
      <c r="F40" s="4">
        <v>56</v>
      </c>
      <c r="G40" s="4">
        <v>150</v>
      </c>
      <c r="H40" s="4">
        <v>8400</v>
      </c>
    </row>
    <row r="41" spans="1:8">
      <c r="A41" s="4">
        <v>41</v>
      </c>
      <c r="B41" s="5">
        <v>45956</v>
      </c>
      <c r="C41" s="4" t="s">
        <v>22</v>
      </c>
      <c r="D41" s="4" t="s">
        <v>18</v>
      </c>
      <c r="E41" s="4" t="s">
        <v>19</v>
      </c>
      <c r="F41" s="4">
        <v>52</v>
      </c>
      <c r="G41" s="4">
        <v>320</v>
      </c>
      <c r="H41" s="4">
        <v>16640</v>
      </c>
    </row>
    <row r="42" spans="1:8">
      <c r="A42" s="4">
        <v>42</v>
      </c>
      <c r="B42" s="5">
        <v>45957</v>
      </c>
      <c r="C42" s="4" t="s">
        <v>22</v>
      </c>
      <c r="D42" s="4" t="s">
        <v>15</v>
      </c>
      <c r="E42" s="4" t="s">
        <v>21</v>
      </c>
      <c r="F42" s="4">
        <v>56</v>
      </c>
      <c r="G42" s="4">
        <v>500</v>
      </c>
      <c r="H42" s="4">
        <v>28000</v>
      </c>
    </row>
    <row r="43" spans="1:8">
      <c r="A43" s="4">
        <v>43</v>
      </c>
      <c r="B43" s="5">
        <v>45958</v>
      </c>
      <c r="C43" s="4" t="s">
        <v>24</v>
      </c>
      <c r="D43" s="4" t="s">
        <v>18</v>
      </c>
      <c r="E43" s="4" t="s">
        <v>26</v>
      </c>
      <c r="F43" s="4">
        <v>21</v>
      </c>
      <c r="G43" s="4">
        <v>300</v>
      </c>
      <c r="H43" s="4">
        <v>6300</v>
      </c>
    </row>
    <row r="44" spans="1:8">
      <c r="A44" s="4">
        <v>44</v>
      </c>
      <c r="B44" s="5">
        <v>45959</v>
      </c>
      <c r="C44" s="4" t="s">
        <v>25</v>
      </c>
      <c r="D44" s="4" t="s">
        <v>9</v>
      </c>
      <c r="E44" s="4" t="s">
        <v>10</v>
      </c>
      <c r="F44" s="4">
        <v>36</v>
      </c>
      <c r="G44" s="4">
        <v>630</v>
      </c>
      <c r="H44" s="4">
        <v>22680</v>
      </c>
    </row>
    <row r="45" spans="1:8">
      <c r="A45" s="4">
        <v>45</v>
      </c>
      <c r="B45" s="5">
        <v>45960</v>
      </c>
      <c r="C45" s="4" t="s">
        <v>27</v>
      </c>
      <c r="D45" s="4" t="s">
        <v>12</v>
      </c>
      <c r="E45" s="4" t="s">
        <v>13</v>
      </c>
      <c r="F45" s="4">
        <v>32</v>
      </c>
      <c r="G45" s="4">
        <v>220</v>
      </c>
      <c r="H45" s="4">
        <v>7040</v>
      </c>
    </row>
    <row r="46" spans="1:8">
      <c r="A46" s="4">
        <v>46</v>
      </c>
      <c r="B46" s="5">
        <v>45961</v>
      </c>
      <c r="C46" s="4" t="s">
        <v>28</v>
      </c>
      <c r="D46" s="4" t="s">
        <v>18</v>
      </c>
      <c r="E46" s="4" t="s">
        <v>16</v>
      </c>
      <c r="F46" s="4">
        <v>21</v>
      </c>
      <c r="G46" s="4">
        <v>300</v>
      </c>
      <c r="H46" s="4">
        <v>6300</v>
      </c>
    </row>
    <row r="47" spans="1:8">
      <c r="A47" s="4">
        <v>47</v>
      </c>
      <c r="B47" s="5">
        <v>45962</v>
      </c>
      <c r="C47" s="4" t="s">
        <v>17</v>
      </c>
      <c r="D47" s="4" t="s">
        <v>15</v>
      </c>
      <c r="E47" s="4" t="s">
        <v>19</v>
      </c>
      <c r="F47" s="4">
        <v>23</v>
      </c>
      <c r="G47" s="4">
        <v>400</v>
      </c>
      <c r="H47" s="4">
        <v>9200</v>
      </c>
    </row>
    <row r="48" spans="1:8">
      <c r="A48" s="4">
        <v>48</v>
      </c>
      <c r="B48" s="5">
        <v>45963</v>
      </c>
      <c r="C48" s="4" t="s">
        <v>20</v>
      </c>
      <c r="D48" s="4" t="s">
        <v>9</v>
      </c>
      <c r="E48" s="4" t="s">
        <v>21</v>
      </c>
      <c r="F48" s="4">
        <v>10</v>
      </c>
      <c r="G48" s="4">
        <v>300</v>
      </c>
      <c r="H48" s="4">
        <v>3000</v>
      </c>
    </row>
    <row r="49" spans="1:8">
      <c r="A49" s="4">
        <v>49</v>
      </c>
      <c r="B49" s="5">
        <v>45964</v>
      </c>
      <c r="C49" s="4" t="s">
        <v>22</v>
      </c>
      <c r="D49" s="4" t="s">
        <v>9</v>
      </c>
      <c r="E49" s="4" t="s">
        <v>23</v>
      </c>
      <c r="F49" s="4">
        <v>25</v>
      </c>
      <c r="G49" s="4">
        <v>250</v>
      </c>
      <c r="H49" s="4">
        <v>6250</v>
      </c>
    </row>
    <row r="50" spans="1:8">
      <c r="A50" s="4">
        <v>50</v>
      </c>
      <c r="B50" s="5">
        <v>45965</v>
      </c>
      <c r="C50" s="4" t="s">
        <v>24</v>
      </c>
      <c r="D50" s="4" t="s">
        <v>12</v>
      </c>
      <c r="E50" s="4" t="s">
        <v>21</v>
      </c>
      <c r="F50" s="4">
        <v>63</v>
      </c>
      <c r="G50" s="4">
        <v>300</v>
      </c>
      <c r="H50" s="4">
        <v>18900</v>
      </c>
    </row>
    <row r="51" spans="1:8">
      <c r="A51" s="4">
        <v>51</v>
      </c>
      <c r="B51" s="5">
        <v>45966</v>
      </c>
      <c r="C51" s="4" t="s">
        <v>25</v>
      </c>
      <c r="D51" s="4" t="s">
        <v>12</v>
      </c>
      <c r="E51" s="4" t="s">
        <v>26</v>
      </c>
      <c r="F51" s="4">
        <v>45</v>
      </c>
      <c r="G51" s="4">
        <v>200</v>
      </c>
      <c r="H51" s="4">
        <v>9000</v>
      </c>
    </row>
    <row r="52" spans="1:8">
      <c r="A52" s="4">
        <v>52</v>
      </c>
      <c r="B52" s="5">
        <v>45967</v>
      </c>
      <c r="C52" s="4" t="s">
        <v>27</v>
      </c>
      <c r="D52" s="4" t="s">
        <v>15</v>
      </c>
      <c r="E52" s="4" t="s">
        <v>10</v>
      </c>
      <c r="F52" s="4">
        <v>56</v>
      </c>
      <c r="G52" s="4">
        <v>320</v>
      </c>
      <c r="H52" s="4">
        <v>17920</v>
      </c>
    </row>
    <row r="53" spans="1:8">
      <c r="A53" s="4">
        <v>53</v>
      </c>
      <c r="B53" s="5">
        <v>45968</v>
      </c>
      <c r="C53" s="4" t="s">
        <v>28</v>
      </c>
      <c r="D53" s="4" t="s">
        <v>15</v>
      </c>
      <c r="E53" s="4" t="s">
        <v>13</v>
      </c>
      <c r="F53" s="4">
        <v>21</v>
      </c>
      <c r="G53" s="4">
        <v>100</v>
      </c>
      <c r="H53" s="4">
        <v>2100</v>
      </c>
    </row>
    <row r="54" spans="1:8">
      <c r="A54" s="4">
        <v>54</v>
      </c>
      <c r="B54" s="5">
        <v>45969</v>
      </c>
      <c r="C54" s="4" t="s">
        <v>17</v>
      </c>
      <c r="D54" s="4" t="s">
        <v>18</v>
      </c>
      <c r="E54" s="4" t="s">
        <v>16</v>
      </c>
      <c r="F54" s="4">
        <v>36</v>
      </c>
      <c r="G54" s="4">
        <v>200</v>
      </c>
      <c r="H54" s="4">
        <v>7200</v>
      </c>
    </row>
    <row r="55" spans="1:8">
      <c r="A55" s="4">
        <v>55</v>
      </c>
      <c r="B55" s="5">
        <v>45970</v>
      </c>
      <c r="C55" s="4" t="s">
        <v>20</v>
      </c>
      <c r="D55" s="4" t="s">
        <v>15</v>
      </c>
      <c r="E55" s="4" t="s">
        <v>19</v>
      </c>
      <c r="F55" s="4">
        <v>32</v>
      </c>
      <c r="G55" s="4">
        <v>200</v>
      </c>
      <c r="H55" s="4">
        <v>6400</v>
      </c>
    </row>
    <row r="56" spans="1:8">
      <c r="A56" s="4">
        <v>56</v>
      </c>
      <c r="B56" s="5">
        <v>45971</v>
      </c>
      <c r="C56" s="4" t="s">
        <v>22</v>
      </c>
      <c r="D56" s="4" t="s">
        <v>18</v>
      </c>
      <c r="E56" s="4" t="s">
        <v>21</v>
      </c>
      <c r="F56" s="4">
        <v>21</v>
      </c>
      <c r="G56" s="4">
        <v>300</v>
      </c>
      <c r="H56" s="4">
        <v>6300</v>
      </c>
    </row>
    <row r="57" spans="1:8">
      <c r="A57" s="4">
        <v>57</v>
      </c>
      <c r="B57" s="5">
        <v>45972</v>
      </c>
      <c r="C57" s="4" t="s">
        <v>24</v>
      </c>
      <c r="D57" s="4" t="s">
        <v>9</v>
      </c>
      <c r="E57" s="4" t="s">
        <v>23</v>
      </c>
      <c r="F57" s="4">
        <v>23</v>
      </c>
      <c r="G57" s="4">
        <v>5020</v>
      </c>
      <c r="H57" s="4">
        <v>115460</v>
      </c>
    </row>
    <row r="58" spans="1:8">
      <c r="A58" s="4">
        <v>58</v>
      </c>
      <c r="B58" s="5">
        <v>45973</v>
      </c>
      <c r="C58" s="4" t="s">
        <v>25</v>
      </c>
      <c r="D58" s="4" t="s">
        <v>12</v>
      </c>
      <c r="E58" s="4" t="s">
        <v>21</v>
      </c>
      <c r="F58" s="4">
        <v>10</v>
      </c>
      <c r="G58" s="4">
        <v>200</v>
      </c>
      <c r="H58" s="4">
        <v>2000</v>
      </c>
    </row>
    <row r="59" spans="1:8">
      <c r="A59" s="4">
        <v>59</v>
      </c>
      <c r="B59" s="5">
        <v>45974</v>
      </c>
      <c r="C59" s="4" t="s">
        <v>27</v>
      </c>
      <c r="D59" s="4" t="s">
        <v>15</v>
      </c>
      <c r="E59" s="4" t="s">
        <v>26</v>
      </c>
      <c r="F59" s="4">
        <v>25</v>
      </c>
      <c r="G59" s="4">
        <v>352</v>
      </c>
      <c r="H59" s="4">
        <v>8800</v>
      </c>
    </row>
    <row r="60" spans="1:8">
      <c r="A60" s="4">
        <v>60</v>
      </c>
      <c r="B60" s="5">
        <v>45975</v>
      </c>
      <c r="C60" s="4" t="s">
        <v>28</v>
      </c>
      <c r="D60" s="4" t="s">
        <v>18</v>
      </c>
      <c r="E60" s="4" t="s">
        <v>10</v>
      </c>
      <c r="F60" s="4">
        <v>63</v>
      </c>
      <c r="G60" s="4">
        <v>200</v>
      </c>
      <c r="H60" s="4">
        <v>12600</v>
      </c>
    </row>
    <row r="61" spans="1:8">
      <c r="A61" s="4">
        <v>61</v>
      </c>
      <c r="B61" s="5">
        <v>45976</v>
      </c>
      <c r="C61" s="4" t="s">
        <v>17</v>
      </c>
      <c r="D61" s="4" t="s">
        <v>9</v>
      </c>
      <c r="E61" s="4" t="s">
        <v>13</v>
      </c>
      <c r="F61" s="4">
        <v>45</v>
      </c>
      <c r="G61" s="4">
        <v>320</v>
      </c>
      <c r="H61" s="4">
        <v>14400</v>
      </c>
    </row>
    <row r="62" spans="1:8">
      <c r="A62" s="4">
        <v>62</v>
      </c>
      <c r="B62" s="5">
        <v>45977</v>
      </c>
      <c r="C62" s="4" t="s">
        <v>20</v>
      </c>
      <c r="D62" s="4" t="s">
        <v>12</v>
      </c>
      <c r="E62" s="4" t="s">
        <v>16</v>
      </c>
      <c r="F62" s="4">
        <v>56</v>
      </c>
      <c r="G62" s="4">
        <v>150</v>
      </c>
      <c r="H62" s="4">
        <v>8400</v>
      </c>
    </row>
  </sheetData>
  <pageMargins left="0.7" right="0.7" top="0.75" bottom="0.75" header="0.3" footer="0.3"/>
  <pageSetup orientation="portrait" r:id="rId1"/>
  <ignoredErrors>
    <ignoredError sqref="B1:H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 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Quality Thought</cp:lastModifiedBy>
  <dcterms:modified xsi:type="dcterms:W3CDTF">2026-06-20T11:46:15Z</dcterms:modified>
</cp:coreProperties>
</file>